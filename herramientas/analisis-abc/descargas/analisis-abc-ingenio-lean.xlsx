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la" sheetId="1" state="visible" r:id="rId1"/>
    <sheet name="Datos y análisi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 &quot;€&quot;;-#,##0 &quot;€&quot;;&quot;&quot;"/>
    <numFmt numFmtId="166" formatCode="0.0%"/>
    <numFmt numFmtId="167" formatCode="#,##0 &quot;€&quot;"/>
  </numFmts>
  <fonts count="21">
    <font>
      <name val="Calibri"/>
      <family val="2"/>
      <color theme="1"/>
      <sz val="11"/>
      <scheme val="minor"/>
    </font>
    <font>
      <name val="Calibri"/>
      <b val="1"/>
      <color rgb="00F2EFE1"/>
      <sz val="20"/>
    </font>
    <font>
      <name val="Calibri"/>
      <color rgb="00E0BA5B"/>
      <sz val="11"/>
    </font>
    <font>
      <name val="Calibri"/>
      <b val="1"/>
      <color rgb="00E0BA5B"/>
      <sz val="12"/>
    </font>
    <font>
      <name val="Calibri"/>
      <color rgb="00F2EFE1"/>
      <sz val="10"/>
    </font>
    <font>
      <name val="Calibri"/>
      <b val="1"/>
      <color rgb="002F5472"/>
      <sz val="14"/>
    </font>
    <font>
      <name val="Calibri"/>
      <color rgb="001D3549"/>
      <sz val="11"/>
    </font>
    <font>
      <name val="Calibri"/>
      <b val="1"/>
      <color rgb="001D3549"/>
      <sz val="11"/>
    </font>
    <font>
      <name val="Calibri"/>
      <color rgb="006E7E8C"/>
      <sz val="10.5"/>
    </font>
    <font>
      <name val="Calibri"/>
      <color rgb="002F5472"/>
      <sz val="11"/>
      <u val="single"/>
    </font>
    <font>
      <name val="Calibri"/>
      <i val="1"/>
      <color rgb="006E7E8C"/>
      <sz val="9.5"/>
    </font>
    <font>
      <name val="Calibri"/>
      <b val="1"/>
      <color rgb="006E7E8C"/>
      <sz val="10"/>
    </font>
    <font>
      <name val="Calibri"/>
      <i val="1"/>
      <color rgb="006E7E8C"/>
      <sz val="10"/>
    </font>
    <font>
      <name val="Calibri"/>
      <b val="1"/>
      <color rgb="001D3549"/>
      <sz val="10.5"/>
    </font>
    <font>
      <name val="Calibri"/>
      <b val="1"/>
      <color rgb="00F2EFE1"/>
      <sz val="10.5"/>
    </font>
    <font>
      <name val="Calibri"/>
      <color rgb="001D3549"/>
      <sz val="10.5"/>
    </font>
    <font>
      <name val="Calibri"/>
      <b val="1"/>
      <color rgb="00F2EFE1"/>
      <sz val="16"/>
    </font>
    <font>
      <name val="Calibri"/>
      <color rgb="006E7E8C"/>
      <sz val="11"/>
    </font>
    <font>
      <name val="Calibri"/>
      <b val="1"/>
      <color rgb="001D3549"/>
      <sz val="12"/>
    </font>
    <font>
      <name val="Calibri"/>
      <color rgb="006E7E8C"/>
      <sz val="10"/>
    </font>
    <font>
      <name val="Calibri"/>
      <b val="1"/>
      <color rgb="002F5472"/>
      <sz val="11"/>
      <u val="single"/>
    </font>
  </fonts>
  <fills count="10">
    <fill>
      <patternFill/>
    </fill>
    <fill>
      <patternFill patternType="gray125"/>
    </fill>
    <fill>
      <patternFill patternType="solid">
        <fgColor rgb="00F2EFE1"/>
        <bgColor rgb="00F2EFE1"/>
      </patternFill>
    </fill>
    <fill>
      <patternFill patternType="solid">
        <fgColor rgb="002F5472"/>
        <bgColor rgb="002F5472"/>
      </patternFill>
    </fill>
    <fill>
      <patternFill patternType="solid">
        <fgColor rgb="00E0BA5B"/>
        <bgColor rgb="00E0BA5B"/>
      </patternFill>
    </fill>
    <fill>
      <patternFill patternType="solid">
        <fgColor rgb="00DDE8D6"/>
        <bgColor rgb="00DDE8D6"/>
      </patternFill>
    </fill>
    <fill>
      <patternFill patternType="solid">
        <fgColor rgb="00F1DFAE"/>
        <bgColor rgb="00F1DFAE"/>
      </patternFill>
    </fill>
    <fill>
      <patternFill patternType="solid">
        <fgColor rgb="00FAF8EF"/>
        <bgColor rgb="00FAF8EF"/>
      </patternFill>
    </fill>
    <fill>
      <patternFill patternType="solid">
        <fgColor rgb="00F3D9CF"/>
        <bgColor rgb="00F3D9CF"/>
      </patternFill>
    </fill>
    <fill>
      <patternFill patternType="solid">
        <fgColor rgb="00E7E2CD"/>
        <bgColor rgb="00E7E2CD"/>
      </patternFill>
    </fill>
  </fills>
  <borders count="3">
    <border>
      <left/>
      <right/>
      <top/>
      <bottom/>
      <diagonal/>
    </border>
    <border>
      <bottom style="thin">
        <color rgb="00E7E2CD"/>
      </bottom>
    </border>
    <border>
      <left style="thin">
        <color rgb="00E7E2CD"/>
      </left>
      <right style="thin">
        <color rgb="00E7E2CD"/>
      </right>
      <top style="thin">
        <color rgb="00E7E2CD"/>
      </top>
      <bottom style="thin">
        <color rgb="00E7E2C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3" fillId="3" borderId="0" applyAlignment="1" pivotButton="0" quotePrefix="0" xfId="0">
      <alignment horizontal="right" vertical="center"/>
    </xf>
    <xf numFmtId="0" fontId="2" fillId="3" borderId="0" pivotButton="0" quotePrefix="0" xfId="0"/>
    <xf numFmtId="0" fontId="4" fillId="3" borderId="0" applyAlignment="1" pivotButton="0" quotePrefix="0" xfId="0">
      <alignment horizontal="right"/>
    </xf>
    <xf numFmtId="0" fontId="0" fillId="4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top"/>
    </xf>
    <xf numFmtId="0" fontId="6" fillId="2" borderId="0" applyAlignment="1" pivotButton="0" quotePrefix="0" xfId="0">
      <alignment vertical="top" wrapText="1" indent="1"/>
    </xf>
    <xf numFmtId="0" fontId="0" fillId="5" borderId="0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 indent="1"/>
    </xf>
    <xf numFmtId="0" fontId="8" fillId="2" borderId="0" applyAlignment="1" pivotButton="0" quotePrefix="0" xfId="0">
      <alignment wrapText="1" indent="1"/>
    </xf>
    <xf numFmtId="0" fontId="9" fillId="2" borderId="0" pivotButton="0" quotePrefix="0" xfId="0"/>
    <xf numFmtId="0" fontId="10" fillId="2" borderId="0" pivotButton="0" quotePrefix="0" xfId="0"/>
    <xf numFmtId="0" fontId="11" fillId="0" borderId="0" applyAlignment="1" pivotButton="0" quotePrefix="0" xfId="0">
      <alignment horizontal="right"/>
    </xf>
    <xf numFmtId="9" fontId="7" fillId="6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0" fontId="12" fillId="0" borderId="0" pivotButton="0" quotePrefix="0" xfId="0"/>
    <xf numFmtId="0" fontId="13" fillId="4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0" borderId="1" pivotButton="0" quotePrefix="0" xfId="0"/>
    <xf numFmtId="165" fontId="15" fillId="0" borderId="1" pivotButton="0" quotePrefix="0" xfId="0"/>
    <xf numFmtId="165" fontId="13" fillId="2" borderId="1" pivotButton="0" quotePrefix="0" xfId="0"/>
    <xf numFmtId="166" fontId="15" fillId="2" borderId="1" pivotButton="0" quotePrefix="0" xfId="0"/>
    <xf numFmtId="0" fontId="7" fillId="2" borderId="1" applyAlignment="1" pivotButton="0" quotePrefix="0" xfId="0">
      <alignment horizontal="center"/>
    </xf>
    <xf numFmtId="2" fontId="15" fillId="2" borderId="1" pivotButton="0" quotePrefix="0" xfId="0"/>
    <xf numFmtId="0" fontId="16" fillId="3" borderId="0" applyAlignment="1" pivotButton="0" quotePrefix="0" xfId="0">
      <alignment vertical="center" wrapText="1" indent="1"/>
    </xf>
    <xf numFmtId="0" fontId="13" fillId="4" borderId="0" applyAlignment="1" pivotButton="0" quotePrefix="0" xfId="0">
      <alignment horizontal="left" indent="1"/>
    </xf>
    <xf numFmtId="0" fontId="13" fillId="4" borderId="0" applyAlignment="1" pivotButton="0" quotePrefix="0" xfId="0">
      <alignment horizontal="center"/>
    </xf>
    <xf numFmtId="0" fontId="7" fillId="7" borderId="1" applyAlignment="1" pivotButton="0" quotePrefix="0" xfId="0">
      <alignment indent="1"/>
    </xf>
    <xf numFmtId="0" fontId="6" fillId="7" borderId="1" applyAlignment="1" pivotButton="0" quotePrefix="0" xfId="0">
      <alignment horizontal="center"/>
    </xf>
    <xf numFmtId="9" fontId="6" fillId="7" borderId="1" applyAlignment="1" pivotButton="0" quotePrefix="0" xfId="0">
      <alignment horizontal="center"/>
    </xf>
    <xf numFmtId="167" fontId="6" fillId="7" borderId="1" applyAlignment="1" pivotButton="0" quotePrefix="0" xfId="0">
      <alignment horizontal="center"/>
    </xf>
    <xf numFmtId="0" fontId="7" fillId="2" borderId="0" pivotButton="0" quotePrefix="0" xfId="0"/>
    <xf numFmtId="0" fontId="7" fillId="2" borderId="0" applyAlignment="1" pivotButton="0" quotePrefix="0" xfId="0">
      <alignment horizontal="center"/>
    </xf>
    <xf numFmtId="167" fontId="7" fillId="2" borderId="0" applyAlignment="1" pivotButton="0" quotePrefix="0" xfId="0">
      <alignment horizontal="center"/>
    </xf>
    <xf numFmtId="166" fontId="5" fillId="2" borderId="0" pivotButton="0" quotePrefix="0" xfId="0"/>
    <xf numFmtId="0" fontId="17" fillId="2" borderId="0" pivotButton="0" quotePrefix="0" xfId="0"/>
    <xf numFmtId="0" fontId="12" fillId="2" borderId="0" pivotButton="0" quotePrefix="0" xfId="0"/>
    <xf numFmtId="0" fontId="14" fillId="3" borderId="0" applyAlignment="1" pivotButton="0" quotePrefix="0" xfId="0">
      <alignment horizontal="center"/>
    </xf>
    <xf numFmtId="0" fontId="18" fillId="2" borderId="0" applyAlignment="1" pivotButton="0" quotePrefix="0" xfId="0">
      <alignment horizontal="right" indent="1"/>
    </xf>
    <xf numFmtId="0" fontId="18" fillId="6" borderId="2" applyAlignment="1" pivotButton="0" quotePrefix="0" xfId="0">
      <alignment horizontal="center"/>
    </xf>
    <xf numFmtId="0" fontId="18" fillId="7" borderId="2" applyAlignment="1" pivotButton="0" quotePrefix="0" xfId="0">
      <alignment horizontal="center"/>
    </xf>
    <xf numFmtId="0" fontId="18" fillId="8" borderId="2" applyAlignment="1" pivotButton="0" quotePrefix="0" xfId="0">
      <alignment horizontal="center"/>
    </xf>
    <xf numFmtId="0" fontId="19" fillId="2" borderId="0" pivotButton="0" quotePrefix="0" xfId="0"/>
    <xf numFmtId="0" fontId="18" fillId="4" borderId="0" applyAlignment="1" pivotButton="0" quotePrefix="0" xfId="0">
      <alignment horizontal="center" vertical="top"/>
    </xf>
    <xf numFmtId="0" fontId="15" fillId="2" borderId="0" applyAlignment="1" pivotButton="0" quotePrefix="0" xfId="0">
      <alignment vertical="top" wrapText="1" indent="1"/>
    </xf>
    <xf numFmtId="0" fontId="18" fillId="9" borderId="0" applyAlignment="1" pivotButton="0" quotePrefix="0" xfId="0">
      <alignment horizontal="center" vertical="top"/>
    </xf>
    <xf numFmtId="0" fontId="18" fillId="7" borderId="0" applyAlignment="1" pivotButton="0" quotePrefix="0" xfId="0">
      <alignment horizontal="center" vertical="top"/>
    </xf>
    <xf numFmtId="0" fontId="20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E0BA5B"/>
          <bgColor rgb="00E0BA5B"/>
        </patternFill>
      </fill>
    </dxf>
    <dxf>
      <fill>
        <patternFill patternType="solid">
          <fgColor rgb="00E7E2CD"/>
          <bgColor rgb="00E7E2CD"/>
        </patternFill>
      </fill>
    </dxf>
    <dxf>
      <font>
        <color rgb="006E7E8C"/>
      </font>
    </dxf>
    <dxf>
      <font>
        <b val="1"/>
        <color rgb="00B4532A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queperez.es/herramientas/analisis-abc/" TargetMode="External" Id="rId1" /><Relationship Type="http://schemas.openxmlformats.org/officeDocument/2006/relationships/hyperlink" Target="https://ingeniolean.substack.com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ingeniolean.substack.com" TargetMode="External" Id="rId1" /></Relationships>
</file>

<file path=xl/worksheets/sheet1.xml><?xml version="1.0" encoding="utf-8"?>
<worksheet xmlns="http://schemas.openxmlformats.org/spreadsheetml/2006/main">
  <sheetPr>
    <tabColor rgb="00E0BA5B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90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2" t="inlineStr">
        <is>
          <t>Análisis ABC-XYZ</t>
        </is>
      </c>
      <c r="C2" s="1" t="n"/>
      <c r="D2" s="1" t="n"/>
      <c r="E2" s="1" t="n"/>
      <c r="F2" s="1" t="n"/>
      <c r="G2" s="1" t="n"/>
      <c r="H2" s="3" t="inlineStr">
        <is>
          <t>INGENIO LEAN</t>
        </is>
      </c>
    </row>
    <row r="3" ht="22" customHeight="1">
      <c r="A3" s="1" t="n"/>
      <c r="B3" s="4" t="inlineStr">
        <is>
          <t>Descubre qué clientes o referencias sostienen tu empresa</t>
        </is>
      </c>
      <c r="C3" s="1" t="n"/>
      <c r="D3" s="1" t="n"/>
      <c r="E3" s="1" t="n"/>
      <c r="F3" s="1" t="n"/>
      <c r="G3" s="1" t="n"/>
      <c r="H3" s="5" t="inlineStr">
        <is>
          <t>ingeniolean.substack.com</t>
        </is>
      </c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8" t="inlineStr">
        <is>
          <t>Qué te dice</t>
        </is>
      </c>
      <c r="C6" s="7" t="n"/>
      <c r="D6" s="7" t="n"/>
      <c r="E6" s="7" t="n"/>
      <c r="F6" s="7" t="n"/>
      <c r="G6" s="7" t="n"/>
      <c r="H6" s="7" t="n"/>
    </row>
    <row r="7" ht="32" customHeight="1">
      <c r="A7" s="7" t="n"/>
      <c r="B7" s="7" t="n"/>
      <c r="C7" s="9" t="inlineStr">
        <is>
          <t>ABC: qué clientes o referencias generan la mayor parte de tu facturación (normalmente, unos pocos generan casi todo). XYZ: cuáles compran de forma regular y cuáles a golpes.</t>
        </is>
      </c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8" t="inlineStr">
        <is>
          <t>Cómo se usa</t>
        </is>
      </c>
      <c r="C9" s="7" t="n"/>
      <c r="D9" s="7" t="n"/>
      <c r="E9" s="7" t="n"/>
      <c r="F9" s="7" t="n"/>
      <c r="G9" s="7" t="n"/>
      <c r="H9" s="7" t="n"/>
    </row>
    <row r="10" ht="18" customHeight="1">
      <c r="A10" s="7" t="n"/>
      <c r="B10" s="10" t="n">
        <v>1</v>
      </c>
      <c r="C10" s="11" t="inlineStr">
        <is>
          <t>Ve a la hoja «Datos y análisis».</t>
        </is>
      </c>
      <c r="D10" s="7" t="n"/>
      <c r="E10" s="7" t="n"/>
      <c r="F10" s="7" t="n"/>
      <c r="G10" s="7" t="n"/>
      <c r="H10" s="7" t="n"/>
    </row>
    <row r="11" ht="32" customHeight="1">
      <c r="A11" s="7" t="n"/>
      <c r="B11" s="10" t="n">
        <v>2</v>
      </c>
      <c r="C11" s="11" t="inlineStr">
        <is>
          <t>Pega en la columna A el nombre o código de cada cliente (o referencia) y en las columnas Ene…Dic su facturación de cada mes. Pon 0 en los meses sin ventas.</t>
        </is>
      </c>
      <c r="D11" s="7" t="n"/>
      <c r="E11" s="7" t="n"/>
      <c r="F11" s="7" t="n"/>
      <c r="G11" s="7" t="n"/>
      <c r="H11" s="7" t="n"/>
    </row>
    <row r="12" ht="32" customHeight="1">
      <c r="A12" s="7" t="n"/>
      <c r="B12" s="10" t="n">
        <v>3</v>
      </c>
      <c r="C12" s="11" t="inlineStr">
        <is>
          <t>¿Solo tienes el total del año? Escríbelo en la columna «Ene» y deja el resto vacío: tendrás el ABC, pero no el XYZ.</t>
        </is>
      </c>
      <c r="D12" s="7" t="n"/>
      <c r="E12" s="7" t="n"/>
      <c r="F12" s="7" t="n"/>
      <c r="G12" s="7" t="n"/>
      <c r="H12" s="7" t="n"/>
    </row>
    <row r="13" ht="18" customHeight="1">
      <c r="A13" s="7" t="n"/>
      <c r="B13" s="10" t="n">
        <v>4</v>
      </c>
      <c r="C13" s="11" t="inlineStr">
        <is>
          <t>Las columnas azules se calculan solas. No hace falta ordenar nada.</t>
        </is>
      </c>
      <c r="D13" s="7" t="n"/>
      <c r="E13" s="7" t="n"/>
      <c r="F13" s="7" t="n"/>
      <c r="G13" s="7" t="n"/>
      <c r="H13" s="7" t="n"/>
    </row>
    <row r="14" ht="18" customHeight="1">
      <c r="A14" s="7" t="n"/>
      <c r="B14" s="10" t="n">
        <v>5</v>
      </c>
      <c r="C14" s="11" t="inlineStr">
        <is>
          <t>Mira el resultado en la hoja «Resumen».</t>
        </is>
      </c>
      <c r="D14" s="7" t="n"/>
      <c r="E14" s="7" t="n"/>
      <c r="F14" s="7" t="n"/>
      <c r="G14" s="7" t="n"/>
      <c r="H14" s="7" t="n"/>
    </row>
    <row r="15" ht="18" customHeight="1">
      <c r="A15" s="7" t="n"/>
      <c r="B15" s="10" t="n">
        <v>6</v>
      </c>
      <c r="C15" s="11" t="inlineStr">
        <is>
          <t>Si quieres, cambia los cortes (80 % y 95 %) en la parte de arriba de «Datos y análisis».</t>
        </is>
      </c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32" customHeight="1">
      <c r="A17" s="7" t="n"/>
      <c r="B17" s="12" t="inlineStr">
        <is>
          <t>🔒</t>
        </is>
      </c>
      <c r="C17" s="13" t="inlineStr">
        <is>
          <t>Tus datos son tuyos. Este archivo no se conecta a nada ni envía información a ningún sitio: todo se calcula dentro de tu Excel.</t>
        </is>
      </c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8" t="inlineStr">
        <is>
          <t>Cómo se calcula</t>
        </is>
      </c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14" t="inlineStr">
        <is>
          <t>A: los que suman el primer 80 % de la facturación. B: hasta el 95 %. C: el resto.</t>
        </is>
      </c>
      <c r="D20" s="7" t="n"/>
      <c r="E20" s="7" t="n"/>
      <c r="F20" s="7" t="n"/>
      <c r="G20" s="7" t="n"/>
      <c r="H20" s="7" t="n"/>
    </row>
    <row r="21">
      <c r="A21" s="7" t="n"/>
      <c r="B21" s="7" t="n"/>
      <c r="C21" s="14" t="inlineStr">
        <is>
          <t>XYZ: regularidad mes a mes (coeficiente de variación). X hasta 0,5 · Y hasta 1 · Z por encima.</t>
        </is>
      </c>
      <c r="D21" s="7" t="n"/>
      <c r="E21" s="7" t="n"/>
      <c r="F21" s="7" t="n"/>
      <c r="G21" s="7" t="n"/>
      <c r="H21" s="7" t="n"/>
    </row>
    <row r="22">
      <c r="A22" s="7" t="n"/>
      <c r="B22" s="7" t="n"/>
      <c r="C22" s="14" t="inlineStr">
        <is>
          <t>Si un mismo nombre aparece en varias filas, cuenta como dos: agrúpalo antes de pegarlo.</t>
        </is>
      </c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8" t="inlineStr">
        <is>
          <t>Más herramientas como esta</t>
        </is>
      </c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15" t="inlineStr">
        <is>
          <t>Versión online, sin Excel: roqueperez.es/herramientas/analisis-abc</t>
        </is>
      </c>
      <c r="D25" s="7" t="n"/>
      <c r="E25" s="7" t="n"/>
      <c r="F25" s="7" t="n"/>
      <c r="G25" s="7" t="n"/>
      <c r="H25" s="7" t="n"/>
    </row>
    <row r="26">
      <c r="A26" s="7" t="n"/>
      <c r="B26" s="7" t="n"/>
      <c r="C26" s="15" t="inlineStr">
        <is>
          <t>Newsletter Ingenio Lean: un problema real de planta cada dos lunes → ingeniolean.substack.com</t>
        </is>
      </c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16" t="inlineStr">
        <is>
          <t>Plantilla gratuita de Ingenio Lean · Roque Pérez · roqueperez.es</t>
        </is>
      </c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</sheetData>
  <hyperlinks>
    <hyperlink xmlns:r="http://schemas.openxmlformats.org/officeDocument/2006/relationships" ref="C25" r:id="rId1"/>
    <hyperlink xmlns:r="http://schemas.openxmlformats.org/officeDocument/2006/relationships" ref="C2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72"/>
    <outlinePr summaryBelow="1" summaryRight="1"/>
    <pageSetUpPr/>
  </sheetPr>
  <dimension ref="A1:S50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1" customWidth="1" min="15" max="15"/>
    <col width="12" customWidth="1" min="16" max="16"/>
    <col width="7" customWidth="1" min="17" max="17"/>
    <col width="10" customWidth="1" min="18" max="18"/>
    <col width="7" customWidth="1" min="19" max="19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4" customHeight="1">
      <c r="A2" s="1" t="n"/>
      <c r="B2" s="2" t="inlineStr">
        <is>
          <t>Datos y análisis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" t="inlineStr">
        <is>
          <t>INGENIO LEAN</t>
        </is>
      </c>
    </row>
    <row r="3" ht="22" customHeight="1">
      <c r="A3" s="1" t="n"/>
      <c r="B3" s="4" t="inlineStr">
        <is>
          <t>Pega tus datos en las columnas blancas. Las azules se calculan solas.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5" t="inlineStr">
        <is>
          <t>ingeniolean.substack.com</t>
        </is>
      </c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6" ht="20" customHeight="1">
      <c r="A6" s="17" t="inlineStr">
        <is>
          <t>Corte A</t>
        </is>
      </c>
      <c r="B6" s="18" t="n">
        <v>0.8</v>
      </c>
      <c r="C6" s="17" t="inlineStr">
        <is>
          <t>Corte B</t>
        </is>
      </c>
      <c r="D6" s="18" t="n">
        <v>0.95</v>
      </c>
      <c r="F6" s="17" t="inlineStr">
        <is>
          <t>Límite X</t>
        </is>
      </c>
      <c r="G6" s="19" t="n">
        <v>0.5</v>
      </c>
      <c r="H6" s="17" t="inlineStr">
        <is>
          <t>Límite Y</t>
        </is>
      </c>
      <c r="I6" s="19" t="n">
        <v>1</v>
      </c>
      <c r="K6" s="20" t="inlineStr">
        <is>
          <t>← puedes cambiarlos</t>
        </is>
      </c>
    </row>
    <row r="7" ht="26" customHeight="1">
      <c r="A7" s="21" t="inlineStr">
        <is>
          <t>Cliente o referencia</t>
        </is>
      </c>
      <c r="B7" s="22" t="inlineStr">
        <is>
          <t>Ene</t>
        </is>
      </c>
      <c r="C7" s="22" t="inlineStr">
        <is>
          <t>Feb</t>
        </is>
      </c>
      <c r="D7" s="22" t="inlineStr">
        <is>
          <t>Mar</t>
        </is>
      </c>
      <c r="E7" s="22" t="inlineStr">
        <is>
          <t>Abr</t>
        </is>
      </c>
      <c r="F7" s="22" t="inlineStr">
        <is>
          <t>May</t>
        </is>
      </c>
      <c r="G7" s="22" t="inlineStr">
        <is>
          <t>Jun</t>
        </is>
      </c>
      <c r="H7" s="22" t="inlineStr">
        <is>
          <t>Jul</t>
        </is>
      </c>
      <c r="I7" s="22" t="inlineStr">
        <is>
          <t>Ago</t>
        </is>
      </c>
      <c r="J7" s="22" t="inlineStr">
        <is>
          <t>Sep</t>
        </is>
      </c>
      <c r="K7" s="22" t="inlineStr">
        <is>
          <t>Oct</t>
        </is>
      </c>
      <c r="L7" s="22" t="inlineStr">
        <is>
          <t>Nov</t>
        </is>
      </c>
      <c r="M7" s="22" t="inlineStr">
        <is>
          <t>Dic</t>
        </is>
      </c>
      <c r="N7" s="23" t="inlineStr">
        <is>
          <t>Total</t>
        </is>
      </c>
      <c r="O7" s="23" t="inlineStr">
        <is>
          <t>% del total</t>
        </is>
      </c>
      <c r="P7" s="23" t="inlineStr">
        <is>
          <t>% acumulado</t>
        </is>
      </c>
      <c r="Q7" s="23" t="inlineStr">
        <is>
          <t>ABC</t>
        </is>
      </c>
      <c r="R7" s="23" t="inlineStr">
        <is>
          <t>Variación</t>
        </is>
      </c>
      <c r="S7" s="23" t="inlineStr">
        <is>
          <t>XYZ</t>
        </is>
      </c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6">
        <f>IF(COUNT(B8:M8)=0,"",SUM(B8:M8))</f>
        <v/>
      </c>
      <c r="O8" s="27">
        <f>IF(N8="","",IF(N8&lt;=0,"",N8/SUMIF($N$8:$N$507,"&gt;0")))</f>
        <v/>
      </c>
      <c r="P8" s="27">
        <f>IF(O8="","",SUMIF($N$8:$N$507,"&gt;="&amp;N8)/SUMIF($N$8:$N$507,"&gt;0"))</f>
        <v/>
      </c>
      <c r="Q8" s="28">
        <f>IF(O8="","",IF(SUMIF($N$8:$N$507,"&gt;"&amp;N8)/SUMIF($N$8:$N$507,"&gt;0")&lt;$B$6,"A",IF(SUMIF($N$8:$N$507,"&gt;"&amp;N8)/SUMIF($N$8:$N$507,"&gt;0")&lt;$D$6,"B","C")))</f>
        <v/>
      </c>
      <c r="R8" s="29">
        <f>IF(O8="","",IF(COUNT(B8:M8)&lt;3,"",STDEVP(B8:M8)/AVERAGE(B8:M8)))</f>
        <v/>
      </c>
      <c r="S8" s="28">
        <f>IF(R8="","",IF(R8&lt;=$G$6,"X",IF(R8&lt;=$I$6,"Y","Z")))</f>
        <v/>
      </c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6">
        <f>IF(COUNT(B9:M9)=0,"",SUM(B9:M9))</f>
        <v/>
      </c>
      <c r="O9" s="27">
        <f>IF(N9="","",IF(N9&lt;=0,"",N9/SUMIF($N$8:$N$507,"&gt;0")))</f>
        <v/>
      </c>
      <c r="P9" s="27">
        <f>IF(O9="","",SUMIF($N$8:$N$507,"&gt;="&amp;N9)/SUMIF($N$8:$N$507,"&gt;0"))</f>
        <v/>
      </c>
      <c r="Q9" s="28">
        <f>IF(O9="","",IF(SUMIF($N$8:$N$507,"&gt;"&amp;N9)/SUMIF($N$8:$N$507,"&gt;0")&lt;$B$6,"A",IF(SUMIF($N$8:$N$507,"&gt;"&amp;N9)/SUMIF($N$8:$N$507,"&gt;0")&lt;$D$6,"B","C")))</f>
        <v/>
      </c>
      <c r="R9" s="29">
        <f>IF(O9="","",IF(COUNT(B9:M9)&lt;3,"",STDEVP(B9:M9)/AVERAGE(B9:M9)))</f>
        <v/>
      </c>
      <c r="S9" s="28">
        <f>IF(R9="","",IF(R9&lt;=$G$6,"X",IF(R9&lt;=$I$6,"Y","Z")))</f>
        <v/>
      </c>
    </row>
    <row r="10">
      <c r="A10" s="24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6">
        <f>IF(COUNT(B10:M10)=0,"",SUM(B10:M10))</f>
        <v/>
      </c>
      <c r="O10" s="27">
        <f>IF(N10="","",IF(N10&lt;=0,"",N10/SUMIF($N$8:$N$507,"&gt;0")))</f>
        <v/>
      </c>
      <c r="P10" s="27">
        <f>IF(O10="","",SUMIF($N$8:$N$507,"&gt;="&amp;N10)/SUMIF($N$8:$N$507,"&gt;0"))</f>
        <v/>
      </c>
      <c r="Q10" s="28">
        <f>IF(O10="","",IF(SUMIF($N$8:$N$507,"&gt;"&amp;N10)/SUMIF($N$8:$N$507,"&gt;0")&lt;$B$6,"A",IF(SUMIF($N$8:$N$507,"&gt;"&amp;N10)/SUMIF($N$8:$N$507,"&gt;0")&lt;$D$6,"B","C")))</f>
        <v/>
      </c>
      <c r="R10" s="29">
        <f>IF(O10="","",IF(COUNT(B10:M10)&lt;3,"",STDEVP(B10:M10)/AVERAGE(B10:M10)))</f>
        <v/>
      </c>
      <c r="S10" s="28">
        <f>IF(R10="","",IF(R10&lt;=$G$6,"X",IF(R10&lt;=$I$6,"Y","Z")))</f>
        <v/>
      </c>
    </row>
    <row r="11">
      <c r="A11" s="24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6">
        <f>IF(COUNT(B11:M11)=0,"",SUM(B11:M11))</f>
        <v/>
      </c>
      <c r="O11" s="27">
        <f>IF(N11="","",IF(N11&lt;=0,"",N11/SUMIF($N$8:$N$507,"&gt;0")))</f>
        <v/>
      </c>
      <c r="P11" s="27">
        <f>IF(O11="","",SUMIF($N$8:$N$507,"&gt;="&amp;N11)/SUMIF($N$8:$N$507,"&gt;0"))</f>
        <v/>
      </c>
      <c r="Q11" s="28">
        <f>IF(O11="","",IF(SUMIF($N$8:$N$507,"&gt;"&amp;N11)/SUMIF($N$8:$N$507,"&gt;0")&lt;$B$6,"A",IF(SUMIF($N$8:$N$507,"&gt;"&amp;N11)/SUMIF($N$8:$N$507,"&gt;0")&lt;$D$6,"B","C")))</f>
        <v/>
      </c>
      <c r="R11" s="29">
        <f>IF(O11="","",IF(COUNT(B11:M11)&lt;3,"",STDEVP(B11:M11)/AVERAGE(B11:M11)))</f>
        <v/>
      </c>
      <c r="S11" s="28">
        <f>IF(R11="","",IF(R11&lt;=$G$6,"X",IF(R11&lt;=$I$6,"Y","Z")))</f>
        <v/>
      </c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6">
        <f>IF(COUNT(B12:M12)=0,"",SUM(B12:M12))</f>
        <v/>
      </c>
      <c r="O12" s="27">
        <f>IF(N12="","",IF(N12&lt;=0,"",N12/SUMIF($N$8:$N$507,"&gt;0")))</f>
        <v/>
      </c>
      <c r="P12" s="27">
        <f>IF(O12="","",SUMIF($N$8:$N$507,"&gt;="&amp;N12)/SUMIF($N$8:$N$507,"&gt;0"))</f>
        <v/>
      </c>
      <c r="Q12" s="28">
        <f>IF(O12="","",IF(SUMIF($N$8:$N$507,"&gt;"&amp;N12)/SUMIF($N$8:$N$507,"&gt;0")&lt;$B$6,"A",IF(SUMIF($N$8:$N$507,"&gt;"&amp;N12)/SUMIF($N$8:$N$507,"&gt;0")&lt;$D$6,"B","C")))</f>
        <v/>
      </c>
      <c r="R12" s="29">
        <f>IF(O12="","",IF(COUNT(B12:M12)&lt;3,"",STDEVP(B12:M12)/AVERAGE(B12:M12)))</f>
        <v/>
      </c>
      <c r="S12" s="28">
        <f>IF(R12="","",IF(R12&lt;=$G$6,"X",IF(R12&lt;=$I$6,"Y","Z")))</f>
        <v/>
      </c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6">
        <f>IF(COUNT(B13:M13)=0,"",SUM(B13:M13))</f>
        <v/>
      </c>
      <c r="O13" s="27">
        <f>IF(N13="","",IF(N13&lt;=0,"",N13/SUMIF($N$8:$N$507,"&gt;0")))</f>
        <v/>
      </c>
      <c r="P13" s="27">
        <f>IF(O13="","",SUMIF($N$8:$N$507,"&gt;="&amp;N13)/SUMIF($N$8:$N$507,"&gt;0"))</f>
        <v/>
      </c>
      <c r="Q13" s="28">
        <f>IF(O13="","",IF(SUMIF($N$8:$N$507,"&gt;"&amp;N13)/SUMIF($N$8:$N$507,"&gt;0")&lt;$B$6,"A",IF(SUMIF($N$8:$N$507,"&gt;"&amp;N13)/SUMIF($N$8:$N$507,"&gt;0")&lt;$D$6,"B","C")))</f>
        <v/>
      </c>
      <c r="R13" s="29">
        <f>IF(O13="","",IF(COUNT(B13:M13)&lt;3,"",STDEVP(B13:M13)/AVERAGE(B13:M13)))</f>
        <v/>
      </c>
      <c r="S13" s="28">
        <f>IF(R13="","",IF(R13&lt;=$G$6,"X",IF(R13&lt;=$I$6,"Y","Z")))</f>
        <v/>
      </c>
    </row>
    <row r="14">
      <c r="A14" s="24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6">
        <f>IF(COUNT(B14:M14)=0,"",SUM(B14:M14))</f>
        <v/>
      </c>
      <c r="O14" s="27">
        <f>IF(N14="","",IF(N14&lt;=0,"",N14/SUMIF($N$8:$N$507,"&gt;0")))</f>
        <v/>
      </c>
      <c r="P14" s="27">
        <f>IF(O14="","",SUMIF($N$8:$N$507,"&gt;="&amp;N14)/SUMIF($N$8:$N$507,"&gt;0"))</f>
        <v/>
      </c>
      <c r="Q14" s="28">
        <f>IF(O14="","",IF(SUMIF($N$8:$N$507,"&gt;"&amp;N14)/SUMIF($N$8:$N$507,"&gt;0")&lt;$B$6,"A",IF(SUMIF($N$8:$N$507,"&gt;"&amp;N14)/SUMIF($N$8:$N$507,"&gt;0")&lt;$D$6,"B","C")))</f>
        <v/>
      </c>
      <c r="R14" s="29">
        <f>IF(O14="","",IF(COUNT(B14:M14)&lt;3,"",STDEVP(B14:M14)/AVERAGE(B14:M14)))</f>
        <v/>
      </c>
      <c r="S14" s="28">
        <f>IF(R14="","",IF(R14&lt;=$G$6,"X",IF(R14&lt;=$I$6,"Y","Z")))</f>
        <v/>
      </c>
    </row>
    <row r="15">
      <c r="A15" s="24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6">
        <f>IF(COUNT(B15:M15)=0,"",SUM(B15:M15))</f>
        <v/>
      </c>
      <c r="O15" s="27">
        <f>IF(N15="","",IF(N15&lt;=0,"",N15/SUMIF($N$8:$N$507,"&gt;0")))</f>
        <v/>
      </c>
      <c r="P15" s="27">
        <f>IF(O15="","",SUMIF($N$8:$N$507,"&gt;="&amp;N15)/SUMIF($N$8:$N$507,"&gt;0"))</f>
        <v/>
      </c>
      <c r="Q15" s="28">
        <f>IF(O15="","",IF(SUMIF($N$8:$N$507,"&gt;"&amp;N15)/SUMIF($N$8:$N$507,"&gt;0")&lt;$B$6,"A",IF(SUMIF($N$8:$N$507,"&gt;"&amp;N15)/SUMIF($N$8:$N$507,"&gt;0")&lt;$D$6,"B","C")))</f>
        <v/>
      </c>
      <c r="R15" s="29">
        <f>IF(O15="","",IF(COUNT(B15:M15)&lt;3,"",STDEVP(B15:M15)/AVERAGE(B15:M15)))</f>
        <v/>
      </c>
      <c r="S15" s="28">
        <f>IF(R15="","",IF(R15&lt;=$G$6,"X",IF(R15&lt;=$I$6,"Y","Z")))</f>
        <v/>
      </c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6">
        <f>IF(COUNT(B16:M16)=0,"",SUM(B16:M16))</f>
        <v/>
      </c>
      <c r="O16" s="27">
        <f>IF(N16="","",IF(N16&lt;=0,"",N16/SUMIF($N$8:$N$507,"&gt;0")))</f>
        <v/>
      </c>
      <c r="P16" s="27">
        <f>IF(O16="","",SUMIF($N$8:$N$507,"&gt;="&amp;N16)/SUMIF($N$8:$N$507,"&gt;0"))</f>
        <v/>
      </c>
      <c r="Q16" s="28">
        <f>IF(O16="","",IF(SUMIF($N$8:$N$507,"&gt;"&amp;N16)/SUMIF($N$8:$N$507,"&gt;0")&lt;$B$6,"A",IF(SUMIF($N$8:$N$507,"&gt;"&amp;N16)/SUMIF($N$8:$N$507,"&gt;0")&lt;$D$6,"B","C")))</f>
        <v/>
      </c>
      <c r="R16" s="29">
        <f>IF(O16="","",IF(COUNT(B16:M16)&lt;3,"",STDEVP(B16:M16)/AVERAGE(B16:M16)))</f>
        <v/>
      </c>
      <c r="S16" s="28">
        <f>IF(R16="","",IF(R16&lt;=$G$6,"X",IF(R16&lt;=$I$6,"Y","Z")))</f>
        <v/>
      </c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6">
        <f>IF(COUNT(B17:M17)=0,"",SUM(B17:M17))</f>
        <v/>
      </c>
      <c r="O17" s="27">
        <f>IF(N17="","",IF(N17&lt;=0,"",N17/SUMIF($N$8:$N$507,"&gt;0")))</f>
        <v/>
      </c>
      <c r="P17" s="27">
        <f>IF(O17="","",SUMIF($N$8:$N$507,"&gt;="&amp;N17)/SUMIF($N$8:$N$507,"&gt;0"))</f>
        <v/>
      </c>
      <c r="Q17" s="28">
        <f>IF(O17="","",IF(SUMIF($N$8:$N$507,"&gt;"&amp;N17)/SUMIF($N$8:$N$507,"&gt;0")&lt;$B$6,"A",IF(SUMIF($N$8:$N$507,"&gt;"&amp;N17)/SUMIF($N$8:$N$507,"&gt;0")&lt;$D$6,"B","C")))</f>
        <v/>
      </c>
      <c r="R17" s="29">
        <f>IF(O17="","",IF(COUNT(B17:M17)&lt;3,"",STDEVP(B17:M17)/AVERAGE(B17:M17)))</f>
        <v/>
      </c>
      <c r="S17" s="28">
        <f>IF(R17="","",IF(R17&lt;=$G$6,"X",IF(R17&lt;=$I$6,"Y","Z")))</f>
        <v/>
      </c>
    </row>
    <row r="18">
      <c r="A18" s="24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6">
        <f>IF(COUNT(B18:M18)=0,"",SUM(B18:M18))</f>
        <v/>
      </c>
      <c r="O18" s="27">
        <f>IF(N18="","",IF(N18&lt;=0,"",N18/SUMIF($N$8:$N$507,"&gt;0")))</f>
        <v/>
      </c>
      <c r="P18" s="27">
        <f>IF(O18="","",SUMIF($N$8:$N$507,"&gt;="&amp;N18)/SUMIF($N$8:$N$507,"&gt;0"))</f>
        <v/>
      </c>
      <c r="Q18" s="28">
        <f>IF(O18="","",IF(SUMIF($N$8:$N$507,"&gt;"&amp;N18)/SUMIF($N$8:$N$507,"&gt;0")&lt;$B$6,"A",IF(SUMIF($N$8:$N$507,"&gt;"&amp;N18)/SUMIF($N$8:$N$507,"&gt;0")&lt;$D$6,"B","C")))</f>
        <v/>
      </c>
      <c r="R18" s="29">
        <f>IF(O18="","",IF(COUNT(B18:M18)&lt;3,"",STDEVP(B18:M18)/AVERAGE(B18:M18)))</f>
        <v/>
      </c>
      <c r="S18" s="28">
        <f>IF(R18="","",IF(R18&lt;=$G$6,"X",IF(R18&lt;=$I$6,"Y","Z")))</f>
        <v/>
      </c>
    </row>
    <row r="19">
      <c r="A19" s="24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6">
        <f>IF(COUNT(B19:M19)=0,"",SUM(B19:M19))</f>
        <v/>
      </c>
      <c r="O19" s="27">
        <f>IF(N19="","",IF(N19&lt;=0,"",N19/SUMIF($N$8:$N$507,"&gt;0")))</f>
        <v/>
      </c>
      <c r="P19" s="27">
        <f>IF(O19="","",SUMIF($N$8:$N$507,"&gt;="&amp;N19)/SUMIF($N$8:$N$507,"&gt;0"))</f>
        <v/>
      </c>
      <c r="Q19" s="28">
        <f>IF(O19="","",IF(SUMIF($N$8:$N$507,"&gt;"&amp;N19)/SUMIF($N$8:$N$507,"&gt;0")&lt;$B$6,"A",IF(SUMIF($N$8:$N$507,"&gt;"&amp;N19)/SUMIF($N$8:$N$507,"&gt;0")&lt;$D$6,"B","C")))</f>
        <v/>
      </c>
      <c r="R19" s="29">
        <f>IF(O19="","",IF(COUNT(B19:M19)&lt;3,"",STDEVP(B19:M19)/AVERAGE(B19:M19)))</f>
        <v/>
      </c>
      <c r="S19" s="28">
        <f>IF(R19="","",IF(R19&lt;=$G$6,"X",IF(R19&lt;=$I$6,"Y","Z")))</f>
        <v/>
      </c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6">
        <f>IF(COUNT(B20:M20)=0,"",SUM(B20:M20))</f>
        <v/>
      </c>
      <c r="O20" s="27">
        <f>IF(N20="","",IF(N20&lt;=0,"",N20/SUMIF($N$8:$N$507,"&gt;0")))</f>
        <v/>
      </c>
      <c r="P20" s="27">
        <f>IF(O20="","",SUMIF($N$8:$N$507,"&gt;="&amp;N20)/SUMIF($N$8:$N$507,"&gt;0"))</f>
        <v/>
      </c>
      <c r="Q20" s="28">
        <f>IF(O20="","",IF(SUMIF($N$8:$N$507,"&gt;"&amp;N20)/SUMIF($N$8:$N$507,"&gt;0")&lt;$B$6,"A",IF(SUMIF($N$8:$N$507,"&gt;"&amp;N20)/SUMIF($N$8:$N$507,"&gt;0")&lt;$D$6,"B","C")))</f>
        <v/>
      </c>
      <c r="R20" s="29">
        <f>IF(O20="","",IF(COUNT(B20:M20)&lt;3,"",STDEVP(B20:M20)/AVERAGE(B20:M20)))</f>
        <v/>
      </c>
      <c r="S20" s="28">
        <f>IF(R20="","",IF(R20&lt;=$G$6,"X",IF(R20&lt;=$I$6,"Y","Z")))</f>
        <v/>
      </c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6">
        <f>IF(COUNT(B21:M21)=0,"",SUM(B21:M21))</f>
        <v/>
      </c>
      <c r="O21" s="27">
        <f>IF(N21="","",IF(N21&lt;=0,"",N21/SUMIF($N$8:$N$507,"&gt;0")))</f>
        <v/>
      </c>
      <c r="P21" s="27">
        <f>IF(O21="","",SUMIF($N$8:$N$507,"&gt;="&amp;N21)/SUMIF($N$8:$N$507,"&gt;0"))</f>
        <v/>
      </c>
      <c r="Q21" s="28">
        <f>IF(O21="","",IF(SUMIF($N$8:$N$507,"&gt;"&amp;N21)/SUMIF($N$8:$N$507,"&gt;0")&lt;$B$6,"A",IF(SUMIF($N$8:$N$507,"&gt;"&amp;N21)/SUMIF($N$8:$N$507,"&gt;0")&lt;$D$6,"B","C")))</f>
        <v/>
      </c>
      <c r="R21" s="29">
        <f>IF(O21="","",IF(COUNT(B21:M21)&lt;3,"",STDEVP(B21:M21)/AVERAGE(B21:M21)))</f>
        <v/>
      </c>
      <c r="S21" s="28">
        <f>IF(R21="","",IF(R21&lt;=$G$6,"X",IF(R21&lt;=$I$6,"Y","Z")))</f>
        <v/>
      </c>
    </row>
    <row r="22">
      <c r="A22" s="24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6">
        <f>IF(COUNT(B22:M22)=0,"",SUM(B22:M22))</f>
        <v/>
      </c>
      <c r="O22" s="27">
        <f>IF(N22="","",IF(N22&lt;=0,"",N22/SUMIF($N$8:$N$507,"&gt;0")))</f>
        <v/>
      </c>
      <c r="P22" s="27">
        <f>IF(O22="","",SUMIF($N$8:$N$507,"&gt;="&amp;N22)/SUMIF($N$8:$N$507,"&gt;0"))</f>
        <v/>
      </c>
      <c r="Q22" s="28">
        <f>IF(O22="","",IF(SUMIF($N$8:$N$507,"&gt;"&amp;N22)/SUMIF($N$8:$N$507,"&gt;0")&lt;$B$6,"A",IF(SUMIF($N$8:$N$507,"&gt;"&amp;N22)/SUMIF($N$8:$N$507,"&gt;0")&lt;$D$6,"B","C")))</f>
        <v/>
      </c>
      <c r="R22" s="29">
        <f>IF(O22="","",IF(COUNT(B22:M22)&lt;3,"",STDEVP(B22:M22)/AVERAGE(B22:M22)))</f>
        <v/>
      </c>
      <c r="S22" s="28">
        <f>IF(R22="","",IF(R22&lt;=$G$6,"X",IF(R22&lt;=$I$6,"Y","Z")))</f>
        <v/>
      </c>
    </row>
    <row r="23">
      <c r="A23" s="24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6">
        <f>IF(COUNT(B23:M23)=0,"",SUM(B23:M23))</f>
        <v/>
      </c>
      <c r="O23" s="27">
        <f>IF(N23="","",IF(N23&lt;=0,"",N23/SUMIF($N$8:$N$507,"&gt;0")))</f>
        <v/>
      </c>
      <c r="P23" s="27">
        <f>IF(O23="","",SUMIF($N$8:$N$507,"&gt;="&amp;N23)/SUMIF($N$8:$N$507,"&gt;0"))</f>
        <v/>
      </c>
      <c r="Q23" s="28">
        <f>IF(O23="","",IF(SUMIF($N$8:$N$507,"&gt;"&amp;N23)/SUMIF($N$8:$N$507,"&gt;0")&lt;$B$6,"A",IF(SUMIF($N$8:$N$507,"&gt;"&amp;N23)/SUMIF($N$8:$N$507,"&gt;0")&lt;$D$6,"B","C")))</f>
        <v/>
      </c>
      <c r="R23" s="29">
        <f>IF(O23="","",IF(COUNT(B23:M23)&lt;3,"",STDEVP(B23:M23)/AVERAGE(B23:M23)))</f>
        <v/>
      </c>
      <c r="S23" s="28">
        <f>IF(R23="","",IF(R23&lt;=$G$6,"X",IF(R23&lt;=$I$6,"Y","Z")))</f>
        <v/>
      </c>
    </row>
    <row r="24">
      <c r="A24" s="24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6">
        <f>IF(COUNT(B24:M24)=0,"",SUM(B24:M24))</f>
        <v/>
      </c>
      <c r="O24" s="27">
        <f>IF(N24="","",IF(N24&lt;=0,"",N24/SUMIF($N$8:$N$507,"&gt;0")))</f>
        <v/>
      </c>
      <c r="P24" s="27">
        <f>IF(O24="","",SUMIF($N$8:$N$507,"&gt;="&amp;N24)/SUMIF($N$8:$N$507,"&gt;0"))</f>
        <v/>
      </c>
      <c r="Q24" s="28">
        <f>IF(O24="","",IF(SUMIF($N$8:$N$507,"&gt;"&amp;N24)/SUMIF($N$8:$N$507,"&gt;0")&lt;$B$6,"A",IF(SUMIF($N$8:$N$507,"&gt;"&amp;N24)/SUMIF($N$8:$N$507,"&gt;0")&lt;$D$6,"B","C")))</f>
        <v/>
      </c>
      <c r="R24" s="29">
        <f>IF(O24="","",IF(COUNT(B24:M24)&lt;3,"",STDEVP(B24:M24)/AVERAGE(B24:M24)))</f>
        <v/>
      </c>
      <c r="S24" s="28">
        <f>IF(R24="","",IF(R24&lt;=$G$6,"X",IF(R24&lt;=$I$6,"Y","Z")))</f>
        <v/>
      </c>
    </row>
    <row r="25">
      <c r="A25" s="24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6">
        <f>IF(COUNT(B25:M25)=0,"",SUM(B25:M25))</f>
        <v/>
      </c>
      <c r="O25" s="27">
        <f>IF(N25="","",IF(N25&lt;=0,"",N25/SUMIF($N$8:$N$507,"&gt;0")))</f>
        <v/>
      </c>
      <c r="P25" s="27">
        <f>IF(O25="","",SUMIF($N$8:$N$507,"&gt;="&amp;N25)/SUMIF($N$8:$N$507,"&gt;0"))</f>
        <v/>
      </c>
      <c r="Q25" s="28">
        <f>IF(O25="","",IF(SUMIF($N$8:$N$507,"&gt;"&amp;N25)/SUMIF($N$8:$N$507,"&gt;0")&lt;$B$6,"A",IF(SUMIF($N$8:$N$507,"&gt;"&amp;N25)/SUMIF($N$8:$N$507,"&gt;0")&lt;$D$6,"B","C")))</f>
        <v/>
      </c>
      <c r="R25" s="29">
        <f>IF(O25="","",IF(COUNT(B25:M25)&lt;3,"",STDEVP(B25:M25)/AVERAGE(B25:M25)))</f>
        <v/>
      </c>
      <c r="S25" s="28">
        <f>IF(R25="","",IF(R25&lt;=$G$6,"X",IF(R25&lt;=$I$6,"Y","Z")))</f>
        <v/>
      </c>
    </row>
    <row r="26">
      <c r="A26" s="24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6">
        <f>IF(COUNT(B26:M26)=0,"",SUM(B26:M26))</f>
        <v/>
      </c>
      <c r="O26" s="27">
        <f>IF(N26="","",IF(N26&lt;=0,"",N26/SUMIF($N$8:$N$507,"&gt;0")))</f>
        <v/>
      </c>
      <c r="P26" s="27">
        <f>IF(O26="","",SUMIF($N$8:$N$507,"&gt;="&amp;N26)/SUMIF($N$8:$N$507,"&gt;0"))</f>
        <v/>
      </c>
      <c r="Q26" s="28">
        <f>IF(O26="","",IF(SUMIF($N$8:$N$507,"&gt;"&amp;N26)/SUMIF($N$8:$N$507,"&gt;0")&lt;$B$6,"A",IF(SUMIF($N$8:$N$507,"&gt;"&amp;N26)/SUMIF($N$8:$N$507,"&gt;0")&lt;$D$6,"B","C")))</f>
        <v/>
      </c>
      <c r="R26" s="29">
        <f>IF(O26="","",IF(COUNT(B26:M26)&lt;3,"",STDEVP(B26:M26)/AVERAGE(B26:M26)))</f>
        <v/>
      </c>
      <c r="S26" s="28">
        <f>IF(R26="","",IF(R26&lt;=$G$6,"X",IF(R26&lt;=$I$6,"Y","Z")))</f>
        <v/>
      </c>
    </row>
    <row r="27">
      <c r="A27" s="24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6">
        <f>IF(COUNT(B27:M27)=0,"",SUM(B27:M27))</f>
        <v/>
      </c>
      <c r="O27" s="27">
        <f>IF(N27="","",IF(N27&lt;=0,"",N27/SUMIF($N$8:$N$507,"&gt;0")))</f>
        <v/>
      </c>
      <c r="P27" s="27">
        <f>IF(O27="","",SUMIF($N$8:$N$507,"&gt;="&amp;N27)/SUMIF($N$8:$N$507,"&gt;0"))</f>
        <v/>
      </c>
      <c r="Q27" s="28">
        <f>IF(O27="","",IF(SUMIF($N$8:$N$507,"&gt;"&amp;N27)/SUMIF($N$8:$N$507,"&gt;0")&lt;$B$6,"A",IF(SUMIF($N$8:$N$507,"&gt;"&amp;N27)/SUMIF($N$8:$N$507,"&gt;0")&lt;$D$6,"B","C")))</f>
        <v/>
      </c>
      <c r="R27" s="29">
        <f>IF(O27="","",IF(COUNT(B27:M27)&lt;3,"",STDEVP(B27:M27)/AVERAGE(B27:M27)))</f>
        <v/>
      </c>
      <c r="S27" s="28">
        <f>IF(R27="","",IF(R27&lt;=$G$6,"X",IF(R27&lt;=$I$6,"Y","Z")))</f>
        <v/>
      </c>
    </row>
    <row r="28">
      <c r="A28" s="2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6">
        <f>IF(COUNT(B28:M28)=0,"",SUM(B28:M28))</f>
        <v/>
      </c>
      <c r="O28" s="27">
        <f>IF(N28="","",IF(N28&lt;=0,"",N28/SUMIF($N$8:$N$507,"&gt;0")))</f>
        <v/>
      </c>
      <c r="P28" s="27">
        <f>IF(O28="","",SUMIF($N$8:$N$507,"&gt;="&amp;N28)/SUMIF($N$8:$N$507,"&gt;0"))</f>
        <v/>
      </c>
      <c r="Q28" s="28">
        <f>IF(O28="","",IF(SUMIF($N$8:$N$507,"&gt;"&amp;N28)/SUMIF($N$8:$N$507,"&gt;0")&lt;$B$6,"A",IF(SUMIF($N$8:$N$507,"&gt;"&amp;N28)/SUMIF($N$8:$N$507,"&gt;0")&lt;$D$6,"B","C")))</f>
        <v/>
      </c>
      <c r="R28" s="29">
        <f>IF(O28="","",IF(COUNT(B28:M28)&lt;3,"",STDEVP(B28:M28)/AVERAGE(B28:M28)))</f>
        <v/>
      </c>
      <c r="S28" s="28">
        <f>IF(R28="","",IF(R28&lt;=$G$6,"X",IF(R28&lt;=$I$6,"Y","Z")))</f>
        <v/>
      </c>
    </row>
    <row r="29">
      <c r="A29" s="24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6">
        <f>IF(COUNT(B29:M29)=0,"",SUM(B29:M29))</f>
        <v/>
      </c>
      <c r="O29" s="27">
        <f>IF(N29="","",IF(N29&lt;=0,"",N29/SUMIF($N$8:$N$507,"&gt;0")))</f>
        <v/>
      </c>
      <c r="P29" s="27">
        <f>IF(O29="","",SUMIF($N$8:$N$507,"&gt;="&amp;N29)/SUMIF($N$8:$N$507,"&gt;0"))</f>
        <v/>
      </c>
      <c r="Q29" s="28">
        <f>IF(O29="","",IF(SUMIF($N$8:$N$507,"&gt;"&amp;N29)/SUMIF($N$8:$N$507,"&gt;0")&lt;$B$6,"A",IF(SUMIF($N$8:$N$507,"&gt;"&amp;N29)/SUMIF($N$8:$N$507,"&gt;0")&lt;$D$6,"B","C")))</f>
        <v/>
      </c>
      <c r="R29" s="29">
        <f>IF(O29="","",IF(COUNT(B29:M29)&lt;3,"",STDEVP(B29:M29)/AVERAGE(B29:M29)))</f>
        <v/>
      </c>
      <c r="S29" s="28">
        <f>IF(R29="","",IF(R29&lt;=$G$6,"X",IF(R29&lt;=$I$6,"Y","Z")))</f>
        <v/>
      </c>
    </row>
    <row r="30">
      <c r="A30" s="24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6">
        <f>IF(COUNT(B30:M30)=0,"",SUM(B30:M30))</f>
        <v/>
      </c>
      <c r="O30" s="27">
        <f>IF(N30="","",IF(N30&lt;=0,"",N30/SUMIF($N$8:$N$507,"&gt;0")))</f>
        <v/>
      </c>
      <c r="P30" s="27">
        <f>IF(O30="","",SUMIF($N$8:$N$507,"&gt;="&amp;N30)/SUMIF($N$8:$N$507,"&gt;0"))</f>
        <v/>
      </c>
      <c r="Q30" s="28">
        <f>IF(O30="","",IF(SUMIF($N$8:$N$507,"&gt;"&amp;N30)/SUMIF($N$8:$N$507,"&gt;0")&lt;$B$6,"A",IF(SUMIF($N$8:$N$507,"&gt;"&amp;N30)/SUMIF($N$8:$N$507,"&gt;0")&lt;$D$6,"B","C")))</f>
        <v/>
      </c>
      <c r="R30" s="29">
        <f>IF(O30="","",IF(COUNT(B30:M30)&lt;3,"",STDEVP(B30:M30)/AVERAGE(B30:M30)))</f>
        <v/>
      </c>
      <c r="S30" s="28">
        <f>IF(R30="","",IF(R30&lt;=$G$6,"X",IF(R30&lt;=$I$6,"Y","Z")))</f>
        <v/>
      </c>
    </row>
    <row r="31">
      <c r="A31" s="24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6">
        <f>IF(COUNT(B31:M31)=0,"",SUM(B31:M31))</f>
        <v/>
      </c>
      <c r="O31" s="27">
        <f>IF(N31="","",IF(N31&lt;=0,"",N31/SUMIF($N$8:$N$507,"&gt;0")))</f>
        <v/>
      </c>
      <c r="P31" s="27">
        <f>IF(O31="","",SUMIF($N$8:$N$507,"&gt;="&amp;N31)/SUMIF($N$8:$N$507,"&gt;0"))</f>
        <v/>
      </c>
      <c r="Q31" s="28">
        <f>IF(O31="","",IF(SUMIF($N$8:$N$507,"&gt;"&amp;N31)/SUMIF($N$8:$N$507,"&gt;0")&lt;$B$6,"A",IF(SUMIF($N$8:$N$507,"&gt;"&amp;N31)/SUMIF($N$8:$N$507,"&gt;0")&lt;$D$6,"B","C")))</f>
        <v/>
      </c>
      <c r="R31" s="29">
        <f>IF(O31="","",IF(COUNT(B31:M31)&lt;3,"",STDEVP(B31:M31)/AVERAGE(B31:M31)))</f>
        <v/>
      </c>
      <c r="S31" s="28">
        <f>IF(R31="","",IF(R31&lt;=$G$6,"X",IF(R31&lt;=$I$6,"Y","Z")))</f>
        <v/>
      </c>
    </row>
    <row r="32">
      <c r="A32" s="2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6">
        <f>IF(COUNT(B32:M32)=0,"",SUM(B32:M32))</f>
        <v/>
      </c>
      <c r="O32" s="27">
        <f>IF(N32="","",IF(N32&lt;=0,"",N32/SUMIF($N$8:$N$507,"&gt;0")))</f>
        <v/>
      </c>
      <c r="P32" s="27">
        <f>IF(O32="","",SUMIF($N$8:$N$507,"&gt;="&amp;N32)/SUMIF($N$8:$N$507,"&gt;0"))</f>
        <v/>
      </c>
      <c r="Q32" s="28">
        <f>IF(O32="","",IF(SUMIF($N$8:$N$507,"&gt;"&amp;N32)/SUMIF($N$8:$N$507,"&gt;0")&lt;$B$6,"A",IF(SUMIF($N$8:$N$507,"&gt;"&amp;N32)/SUMIF($N$8:$N$507,"&gt;0")&lt;$D$6,"B","C")))</f>
        <v/>
      </c>
      <c r="R32" s="29">
        <f>IF(O32="","",IF(COUNT(B32:M32)&lt;3,"",STDEVP(B32:M32)/AVERAGE(B32:M32)))</f>
        <v/>
      </c>
      <c r="S32" s="28">
        <f>IF(R32="","",IF(R32&lt;=$G$6,"X",IF(R32&lt;=$I$6,"Y","Z")))</f>
        <v/>
      </c>
    </row>
    <row r="33">
      <c r="A33" s="24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6">
        <f>IF(COUNT(B33:M33)=0,"",SUM(B33:M33))</f>
        <v/>
      </c>
      <c r="O33" s="27">
        <f>IF(N33="","",IF(N33&lt;=0,"",N33/SUMIF($N$8:$N$507,"&gt;0")))</f>
        <v/>
      </c>
      <c r="P33" s="27">
        <f>IF(O33="","",SUMIF($N$8:$N$507,"&gt;="&amp;N33)/SUMIF($N$8:$N$507,"&gt;0"))</f>
        <v/>
      </c>
      <c r="Q33" s="28">
        <f>IF(O33="","",IF(SUMIF($N$8:$N$507,"&gt;"&amp;N33)/SUMIF($N$8:$N$507,"&gt;0")&lt;$B$6,"A",IF(SUMIF($N$8:$N$507,"&gt;"&amp;N33)/SUMIF($N$8:$N$507,"&gt;0")&lt;$D$6,"B","C")))</f>
        <v/>
      </c>
      <c r="R33" s="29">
        <f>IF(O33="","",IF(COUNT(B33:M33)&lt;3,"",STDEVP(B33:M33)/AVERAGE(B33:M33)))</f>
        <v/>
      </c>
      <c r="S33" s="28">
        <f>IF(R33="","",IF(R33&lt;=$G$6,"X",IF(R33&lt;=$I$6,"Y","Z")))</f>
        <v/>
      </c>
    </row>
    <row r="34">
      <c r="A34" s="24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6">
        <f>IF(COUNT(B34:M34)=0,"",SUM(B34:M34))</f>
        <v/>
      </c>
      <c r="O34" s="27">
        <f>IF(N34="","",IF(N34&lt;=0,"",N34/SUMIF($N$8:$N$507,"&gt;0")))</f>
        <v/>
      </c>
      <c r="P34" s="27">
        <f>IF(O34="","",SUMIF($N$8:$N$507,"&gt;="&amp;N34)/SUMIF($N$8:$N$507,"&gt;0"))</f>
        <v/>
      </c>
      <c r="Q34" s="28">
        <f>IF(O34="","",IF(SUMIF($N$8:$N$507,"&gt;"&amp;N34)/SUMIF($N$8:$N$507,"&gt;0")&lt;$B$6,"A",IF(SUMIF($N$8:$N$507,"&gt;"&amp;N34)/SUMIF($N$8:$N$507,"&gt;0")&lt;$D$6,"B","C")))</f>
        <v/>
      </c>
      <c r="R34" s="29">
        <f>IF(O34="","",IF(COUNT(B34:M34)&lt;3,"",STDEVP(B34:M34)/AVERAGE(B34:M34)))</f>
        <v/>
      </c>
      <c r="S34" s="28">
        <f>IF(R34="","",IF(R34&lt;=$G$6,"X",IF(R34&lt;=$I$6,"Y","Z")))</f>
        <v/>
      </c>
    </row>
    <row r="35">
      <c r="A35" s="24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6">
        <f>IF(COUNT(B35:M35)=0,"",SUM(B35:M35))</f>
        <v/>
      </c>
      <c r="O35" s="27">
        <f>IF(N35="","",IF(N35&lt;=0,"",N35/SUMIF($N$8:$N$507,"&gt;0")))</f>
        <v/>
      </c>
      <c r="P35" s="27">
        <f>IF(O35="","",SUMIF($N$8:$N$507,"&gt;="&amp;N35)/SUMIF($N$8:$N$507,"&gt;0"))</f>
        <v/>
      </c>
      <c r="Q35" s="28">
        <f>IF(O35="","",IF(SUMIF($N$8:$N$507,"&gt;"&amp;N35)/SUMIF($N$8:$N$507,"&gt;0")&lt;$B$6,"A",IF(SUMIF($N$8:$N$507,"&gt;"&amp;N35)/SUMIF($N$8:$N$507,"&gt;0")&lt;$D$6,"B","C")))</f>
        <v/>
      </c>
      <c r="R35" s="29">
        <f>IF(O35="","",IF(COUNT(B35:M35)&lt;3,"",STDEVP(B35:M35)/AVERAGE(B35:M35)))</f>
        <v/>
      </c>
      <c r="S35" s="28">
        <f>IF(R35="","",IF(R35&lt;=$G$6,"X",IF(R35&lt;=$I$6,"Y","Z")))</f>
        <v/>
      </c>
    </row>
    <row r="36">
      <c r="A36" s="24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6">
        <f>IF(COUNT(B36:M36)=0,"",SUM(B36:M36))</f>
        <v/>
      </c>
      <c r="O36" s="27">
        <f>IF(N36="","",IF(N36&lt;=0,"",N36/SUMIF($N$8:$N$507,"&gt;0")))</f>
        <v/>
      </c>
      <c r="P36" s="27">
        <f>IF(O36="","",SUMIF($N$8:$N$507,"&gt;="&amp;N36)/SUMIF($N$8:$N$507,"&gt;0"))</f>
        <v/>
      </c>
      <c r="Q36" s="28">
        <f>IF(O36="","",IF(SUMIF($N$8:$N$507,"&gt;"&amp;N36)/SUMIF($N$8:$N$507,"&gt;0")&lt;$B$6,"A",IF(SUMIF($N$8:$N$507,"&gt;"&amp;N36)/SUMIF($N$8:$N$507,"&gt;0")&lt;$D$6,"B","C")))</f>
        <v/>
      </c>
      <c r="R36" s="29">
        <f>IF(O36="","",IF(COUNT(B36:M36)&lt;3,"",STDEVP(B36:M36)/AVERAGE(B36:M36)))</f>
        <v/>
      </c>
      <c r="S36" s="28">
        <f>IF(R36="","",IF(R36&lt;=$G$6,"X",IF(R36&lt;=$I$6,"Y","Z")))</f>
        <v/>
      </c>
    </row>
    <row r="37">
      <c r="A37" s="24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6">
        <f>IF(COUNT(B37:M37)=0,"",SUM(B37:M37))</f>
        <v/>
      </c>
      <c r="O37" s="27">
        <f>IF(N37="","",IF(N37&lt;=0,"",N37/SUMIF($N$8:$N$507,"&gt;0")))</f>
        <v/>
      </c>
      <c r="P37" s="27">
        <f>IF(O37="","",SUMIF($N$8:$N$507,"&gt;="&amp;N37)/SUMIF($N$8:$N$507,"&gt;0"))</f>
        <v/>
      </c>
      <c r="Q37" s="28">
        <f>IF(O37="","",IF(SUMIF($N$8:$N$507,"&gt;"&amp;N37)/SUMIF($N$8:$N$507,"&gt;0")&lt;$B$6,"A",IF(SUMIF($N$8:$N$507,"&gt;"&amp;N37)/SUMIF($N$8:$N$507,"&gt;0")&lt;$D$6,"B","C")))</f>
        <v/>
      </c>
      <c r="R37" s="29">
        <f>IF(O37="","",IF(COUNT(B37:M37)&lt;3,"",STDEVP(B37:M37)/AVERAGE(B37:M37)))</f>
        <v/>
      </c>
      <c r="S37" s="28">
        <f>IF(R37="","",IF(R37&lt;=$G$6,"X",IF(R37&lt;=$I$6,"Y","Z")))</f>
        <v/>
      </c>
    </row>
    <row r="38">
      <c r="A38" s="24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6">
        <f>IF(COUNT(B38:M38)=0,"",SUM(B38:M38))</f>
        <v/>
      </c>
      <c r="O38" s="27">
        <f>IF(N38="","",IF(N38&lt;=0,"",N38/SUMIF($N$8:$N$507,"&gt;0")))</f>
        <v/>
      </c>
      <c r="P38" s="27">
        <f>IF(O38="","",SUMIF($N$8:$N$507,"&gt;="&amp;N38)/SUMIF($N$8:$N$507,"&gt;0"))</f>
        <v/>
      </c>
      <c r="Q38" s="28">
        <f>IF(O38="","",IF(SUMIF($N$8:$N$507,"&gt;"&amp;N38)/SUMIF($N$8:$N$507,"&gt;0")&lt;$B$6,"A",IF(SUMIF($N$8:$N$507,"&gt;"&amp;N38)/SUMIF($N$8:$N$507,"&gt;0")&lt;$D$6,"B","C")))</f>
        <v/>
      </c>
      <c r="R38" s="29">
        <f>IF(O38="","",IF(COUNT(B38:M38)&lt;3,"",STDEVP(B38:M38)/AVERAGE(B38:M38)))</f>
        <v/>
      </c>
      <c r="S38" s="28">
        <f>IF(R38="","",IF(R38&lt;=$G$6,"X",IF(R38&lt;=$I$6,"Y","Z")))</f>
        <v/>
      </c>
    </row>
    <row r="39">
      <c r="A39" s="24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6">
        <f>IF(COUNT(B39:M39)=0,"",SUM(B39:M39))</f>
        <v/>
      </c>
      <c r="O39" s="27">
        <f>IF(N39="","",IF(N39&lt;=0,"",N39/SUMIF($N$8:$N$507,"&gt;0")))</f>
        <v/>
      </c>
      <c r="P39" s="27">
        <f>IF(O39="","",SUMIF($N$8:$N$507,"&gt;="&amp;N39)/SUMIF($N$8:$N$507,"&gt;0"))</f>
        <v/>
      </c>
      <c r="Q39" s="28">
        <f>IF(O39="","",IF(SUMIF($N$8:$N$507,"&gt;"&amp;N39)/SUMIF($N$8:$N$507,"&gt;0")&lt;$B$6,"A",IF(SUMIF($N$8:$N$507,"&gt;"&amp;N39)/SUMIF($N$8:$N$507,"&gt;0")&lt;$D$6,"B","C")))</f>
        <v/>
      </c>
      <c r="R39" s="29">
        <f>IF(O39="","",IF(COUNT(B39:M39)&lt;3,"",STDEVP(B39:M39)/AVERAGE(B39:M39)))</f>
        <v/>
      </c>
      <c r="S39" s="28">
        <f>IF(R39="","",IF(R39&lt;=$G$6,"X",IF(R39&lt;=$I$6,"Y","Z")))</f>
        <v/>
      </c>
    </row>
    <row r="40">
      <c r="A40" s="24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6">
        <f>IF(COUNT(B40:M40)=0,"",SUM(B40:M40))</f>
        <v/>
      </c>
      <c r="O40" s="27">
        <f>IF(N40="","",IF(N40&lt;=0,"",N40/SUMIF($N$8:$N$507,"&gt;0")))</f>
        <v/>
      </c>
      <c r="P40" s="27">
        <f>IF(O40="","",SUMIF($N$8:$N$507,"&gt;="&amp;N40)/SUMIF($N$8:$N$507,"&gt;0"))</f>
        <v/>
      </c>
      <c r="Q40" s="28">
        <f>IF(O40="","",IF(SUMIF($N$8:$N$507,"&gt;"&amp;N40)/SUMIF($N$8:$N$507,"&gt;0")&lt;$B$6,"A",IF(SUMIF($N$8:$N$507,"&gt;"&amp;N40)/SUMIF($N$8:$N$507,"&gt;0")&lt;$D$6,"B","C")))</f>
        <v/>
      </c>
      <c r="R40" s="29">
        <f>IF(O40="","",IF(COUNT(B40:M40)&lt;3,"",STDEVP(B40:M40)/AVERAGE(B40:M40)))</f>
        <v/>
      </c>
      <c r="S40" s="28">
        <f>IF(R40="","",IF(R40&lt;=$G$6,"X",IF(R40&lt;=$I$6,"Y","Z")))</f>
        <v/>
      </c>
    </row>
    <row r="41">
      <c r="A41" s="24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6">
        <f>IF(COUNT(B41:M41)=0,"",SUM(B41:M41))</f>
        <v/>
      </c>
      <c r="O41" s="27">
        <f>IF(N41="","",IF(N41&lt;=0,"",N41/SUMIF($N$8:$N$507,"&gt;0")))</f>
        <v/>
      </c>
      <c r="P41" s="27">
        <f>IF(O41="","",SUMIF($N$8:$N$507,"&gt;="&amp;N41)/SUMIF($N$8:$N$507,"&gt;0"))</f>
        <v/>
      </c>
      <c r="Q41" s="28">
        <f>IF(O41="","",IF(SUMIF($N$8:$N$507,"&gt;"&amp;N41)/SUMIF($N$8:$N$507,"&gt;0")&lt;$B$6,"A",IF(SUMIF($N$8:$N$507,"&gt;"&amp;N41)/SUMIF($N$8:$N$507,"&gt;0")&lt;$D$6,"B","C")))</f>
        <v/>
      </c>
      <c r="R41" s="29">
        <f>IF(O41="","",IF(COUNT(B41:M41)&lt;3,"",STDEVP(B41:M41)/AVERAGE(B41:M41)))</f>
        <v/>
      </c>
      <c r="S41" s="28">
        <f>IF(R41="","",IF(R41&lt;=$G$6,"X",IF(R41&lt;=$I$6,"Y","Z")))</f>
        <v/>
      </c>
    </row>
    <row r="42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6">
        <f>IF(COUNT(B42:M42)=0,"",SUM(B42:M42))</f>
        <v/>
      </c>
      <c r="O42" s="27">
        <f>IF(N42="","",IF(N42&lt;=0,"",N42/SUMIF($N$8:$N$507,"&gt;0")))</f>
        <v/>
      </c>
      <c r="P42" s="27">
        <f>IF(O42="","",SUMIF($N$8:$N$507,"&gt;="&amp;N42)/SUMIF($N$8:$N$507,"&gt;0"))</f>
        <v/>
      </c>
      <c r="Q42" s="28">
        <f>IF(O42="","",IF(SUMIF($N$8:$N$507,"&gt;"&amp;N42)/SUMIF($N$8:$N$507,"&gt;0")&lt;$B$6,"A",IF(SUMIF($N$8:$N$507,"&gt;"&amp;N42)/SUMIF($N$8:$N$507,"&gt;0")&lt;$D$6,"B","C")))</f>
        <v/>
      </c>
      <c r="R42" s="29">
        <f>IF(O42="","",IF(COUNT(B42:M42)&lt;3,"",STDEVP(B42:M42)/AVERAGE(B42:M42)))</f>
        <v/>
      </c>
      <c r="S42" s="28">
        <f>IF(R42="","",IF(R42&lt;=$G$6,"X",IF(R42&lt;=$I$6,"Y","Z")))</f>
        <v/>
      </c>
    </row>
    <row r="43">
      <c r="A43" s="24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6">
        <f>IF(COUNT(B43:M43)=0,"",SUM(B43:M43))</f>
        <v/>
      </c>
      <c r="O43" s="27">
        <f>IF(N43="","",IF(N43&lt;=0,"",N43/SUMIF($N$8:$N$507,"&gt;0")))</f>
        <v/>
      </c>
      <c r="P43" s="27">
        <f>IF(O43="","",SUMIF($N$8:$N$507,"&gt;="&amp;N43)/SUMIF($N$8:$N$507,"&gt;0"))</f>
        <v/>
      </c>
      <c r="Q43" s="28">
        <f>IF(O43="","",IF(SUMIF($N$8:$N$507,"&gt;"&amp;N43)/SUMIF($N$8:$N$507,"&gt;0")&lt;$B$6,"A",IF(SUMIF($N$8:$N$507,"&gt;"&amp;N43)/SUMIF($N$8:$N$507,"&gt;0")&lt;$D$6,"B","C")))</f>
        <v/>
      </c>
      <c r="R43" s="29">
        <f>IF(O43="","",IF(COUNT(B43:M43)&lt;3,"",STDEVP(B43:M43)/AVERAGE(B43:M43)))</f>
        <v/>
      </c>
      <c r="S43" s="28">
        <f>IF(R43="","",IF(R43&lt;=$G$6,"X",IF(R43&lt;=$I$6,"Y","Z")))</f>
        <v/>
      </c>
    </row>
    <row r="44">
      <c r="A44" s="24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6">
        <f>IF(COUNT(B44:M44)=0,"",SUM(B44:M44))</f>
        <v/>
      </c>
      <c r="O44" s="27">
        <f>IF(N44="","",IF(N44&lt;=0,"",N44/SUMIF($N$8:$N$507,"&gt;0")))</f>
        <v/>
      </c>
      <c r="P44" s="27">
        <f>IF(O44="","",SUMIF($N$8:$N$507,"&gt;="&amp;N44)/SUMIF($N$8:$N$507,"&gt;0"))</f>
        <v/>
      </c>
      <c r="Q44" s="28">
        <f>IF(O44="","",IF(SUMIF($N$8:$N$507,"&gt;"&amp;N44)/SUMIF($N$8:$N$507,"&gt;0")&lt;$B$6,"A",IF(SUMIF($N$8:$N$507,"&gt;"&amp;N44)/SUMIF($N$8:$N$507,"&gt;0")&lt;$D$6,"B","C")))</f>
        <v/>
      </c>
      <c r="R44" s="29">
        <f>IF(O44="","",IF(COUNT(B44:M44)&lt;3,"",STDEVP(B44:M44)/AVERAGE(B44:M44)))</f>
        <v/>
      </c>
      <c r="S44" s="28">
        <f>IF(R44="","",IF(R44&lt;=$G$6,"X",IF(R44&lt;=$I$6,"Y","Z")))</f>
        <v/>
      </c>
    </row>
    <row r="45">
      <c r="A45" s="24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6">
        <f>IF(COUNT(B45:M45)=0,"",SUM(B45:M45))</f>
        <v/>
      </c>
      <c r="O45" s="27">
        <f>IF(N45="","",IF(N45&lt;=0,"",N45/SUMIF($N$8:$N$507,"&gt;0")))</f>
        <v/>
      </c>
      <c r="P45" s="27">
        <f>IF(O45="","",SUMIF($N$8:$N$507,"&gt;="&amp;N45)/SUMIF($N$8:$N$507,"&gt;0"))</f>
        <v/>
      </c>
      <c r="Q45" s="28">
        <f>IF(O45="","",IF(SUMIF($N$8:$N$507,"&gt;"&amp;N45)/SUMIF($N$8:$N$507,"&gt;0")&lt;$B$6,"A",IF(SUMIF($N$8:$N$507,"&gt;"&amp;N45)/SUMIF($N$8:$N$507,"&gt;0")&lt;$D$6,"B","C")))</f>
        <v/>
      </c>
      <c r="R45" s="29">
        <f>IF(O45="","",IF(COUNT(B45:M45)&lt;3,"",STDEVP(B45:M45)/AVERAGE(B45:M45)))</f>
        <v/>
      </c>
      <c r="S45" s="28">
        <f>IF(R45="","",IF(R45&lt;=$G$6,"X",IF(R45&lt;=$I$6,"Y","Z")))</f>
        <v/>
      </c>
    </row>
    <row r="46">
      <c r="A46" s="24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6">
        <f>IF(COUNT(B46:M46)=0,"",SUM(B46:M46))</f>
        <v/>
      </c>
      <c r="O46" s="27">
        <f>IF(N46="","",IF(N46&lt;=0,"",N46/SUMIF($N$8:$N$507,"&gt;0")))</f>
        <v/>
      </c>
      <c r="P46" s="27">
        <f>IF(O46="","",SUMIF($N$8:$N$507,"&gt;="&amp;N46)/SUMIF($N$8:$N$507,"&gt;0"))</f>
        <v/>
      </c>
      <c r="Q46" s="28">
        <f>IF(O46="","",IF(SUMIF($N$8:$N$507,"&gt;"&amp;N46)/SUMIF($N$8:$N$507,"&gt;0")&lt;$B$6,"A",IF(SUMIF($N$8:$N$507,"&gt;"&amp;N46)/SUMIF($N$8:$N$507,"&gt;0")&lt;$D$6,"B","C")))</f>
        <v/>
      </c>
      <c r="R46" s="29">
        <f>IF(O46="","",IF(COUNT(B46:M46)&lt;3,"",STDEVP(B46:M46)/AVERAGE(B46:M46)))</f>
        <v/>
      </c>
      <c r="S46" s="28">
        <f>IF(R46="","",IF(R46&lt;=$G$6,"X",IF(R46&lt;=$I$6,"Y","Z")))</f>
        <v/>
      </c>
    </row>
    <row r="47">
      <c r="A47" s="24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6">
        <f>IF(COUNT(B47:M47)=0,"",SUM(B47:M47))</f>
        <v/>
      </c>
      <c r="O47" s="27">
        <f>IF(N47="","",IF(N47&lt;=0,"",N47/SUMIF($N$8:$N$507,"&gt;0")))</f>
        <v/>
      </c>
      <c r="P47" s="27">
        <f>IF(O47="","",SUMIF($N$8:$N$507,"&gt;="&amp;N47)/SUMIF($N$8:$N$507,"&gt;0"))</f>
        <v/>
      </c>
      <c r="Q47" s="28">
        <f>IF(O47="","",IF(SUMIF($N$8:$N$507,"&gt;"&amp;N47)/SUMIF($N$8:$N$507,"&gt;0")&lt;$B$6,"A",IF(SUMIF($N$8:$N$507,"&gt;"&amp;N47)/SUMIF($N$8:$N$507,"&gt;0")&lt;$D$6,"B","C")))</f>
        <v/>
      </c>
      <c r="R47" s="29">
        <f>IF(O47="","",IF(COUNT(B47:M47)&lt;3,"",STDEVP(B47:M47)/AVERAGE(B47:M47)))</f>
        <v/>
      </c>
      <c r="S47" s="28">
        <f>IF(R47="","",IF(R47&lt;=$G$6,"X",IF(R47&lt;=$I$6,"Y","Z")))</f>
        <v/>
      </c>
    </row>
    <row r="48">
      <c r="A48" s="2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6">
        <f>IF(COUNT(B48:M48)=0,"",SUM(B48:M48))</f>
        <v/>
      </c>
      <c r="O48" s="27">
        <f>IF(N48="","",IF(N48&lt;=0,"",N48/SUMIF($N$8:$N$507,"&gt;0")))</f>
        <v/>
      </c>
      <c r="P48" s="27">
        <f>IF(O48="","",SUMIF($N$8:$N$507,"&gt;="&amp;N48)/SUMIF($N$8:$N$507,"&gt;0"))</f>
        <v/>
      </c>
      <c r="Q48" s="28">
        <f>IF(O48="","",IF(SUMIF($N$8:$N$507,"&gt;"&amp;N48)/SUMIF($N$8:$N$507,"&gt;0")&lt;$B$6,"A",IF(SUMIF($N$8:$N$507,"&gt;"&amp;N48)/SUMIF($N$8:$N$507,"&gt;0")&lt;$D$6,"B","C")))</f>
        <v/>
      </c>
      <c r="R48" s="29">
        <f>IF(O48="","",IF(COUNT(B48:M48)&lt;3,"",STDEVP(B48:M48)/AVERAGE(B48:M48)))</f>
        <v/>
      </c>
      <c r="S48" s="28">
        <f>IF(R48="","",IF(R48&lt;=$G$6,"X",IF(R48&lt;=$I$6,"Y","Z")))</f>
        <v/>
      </c>
    </row>
    <row r="49">
      <c r="A49" s="24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6">
        <f>IF(COUNT(B49:M49)=0,"",SUM(B49:M49))</f>
        <v/>
      </c>
      <c r="O49" s="27">
        <f>IF(N49="","",IF(N49&lt;=0,"",N49/SUMIF($N$8:$N$507,"&gt;0")))</f>
        <v/>
      </c>
      <c r="P49" s="27">
        <f>IF(O49="","",SUMIF($N$8:$N$507,"&gt;="&amp;N49)/SUMIF($N$8:$N$507,"&gt;0"))</f>
        <v/>
      </c>
      <c r="Q49" s="28">
        <f>IF(O49="","",IF(SUMIF($N$8:$N$507,"&gt;"&amp;N49)/SUMIF($N$8:$N$507,"&gt;0")&lt;$B$6,"A",IF(SUMIF($N$8:$N$507,"&gt;"&amp;N49)/SUMIF($N$8:$N$507,"&gt;0")&lt;$D$6,"B","C")))</f>
        <v/>
      </c>
      <c r="R49" s="29">
        <f>IF(O49="","",IF(COUNT(B49:M49)&lt;3,"",STDEVP(B49:M49)/AVERAGE(B49:M49)))</f>
        <v/>
      </c>
      <c r="S49" s="28">
        <f>IF(R49="","",IF(R49&lt;=$G$6,"X",IF(R49&lt;=$I$6,"Y","Z")))</f>
        <v/>
      </c>
    </row>
    <row r="50">
      <c r="A50" s="24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6">
        <f>IF(COUNT(B50:M50)=0,"",SUM(B50:M50))</f>
        <v/>
      </c>
      <c r="O50" s="27">
        <f>IF(N50="","",IF(N50&lt;=0,"",N50/SUMIF($N$8:$N$507,"&gt;0")))</f>
        <v/>
      </c>
      <c r="P50" s="27">
        <f>IF(O50="","",SUMIF($N$8:$N$507,"&gt;="&amp;N50)/SUMIF($N$8:$N$507,"&gt;0"))</f>
        <v/>
      </c>
      <c r="Q50" s="28">
        <f>IF(O50="","",IF(SUMIF($N$8:$N$507,"&gt;"&amp;N50)/SUMIF($N$8:$N$507,"&gt;0")&lt;$B$6,"A",IF(SUMIF($N$8:$N$507,"&gt;"&amp;N50)/SUMIF($N$8:$N$507,"&gt;0")&lt;$D$6,"B","C")))</f>
        <v/>
      </c>
      <c r="R50" s="29">
        <f>IF(O50="","",IF(COUNT(B50:M50)&lt;3,"",STDEVP(B50:M50)/AVERAGE(B50:M50)))</f>
        <v/>
      </c>
      <c r="S50" s="28">
        <f>IF(R50="","",IF(R50&lt;=$G$6,"X",IF(R50&lt;=$I$6,"Y","Z")))</f>
        <v/>
      </c>
    </row>
    <row r="51">
      <c r="A51" s="24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6">
        <f>IF(COUNT(B51:M51)=0,"",SUM(B51:M51))</f>
        <v/>
      </c>
      <c r="O51" s="27">
        <f>IF(N51="","",IF(N51&lt;=0,"",N51/SUMIF($N$8:$N$507,"&gt;0")))</f>
        <v/>
      </c>
      <c r="P51" s="27">
        <f>IF(O51="","",SUMIF($N$8:$N$507,"&gt;="&amp;N51)/SUMIF($N$8:$N$507,"&gt;0"))</f>
        <v/>
      </c>
      <c r="Q51" s="28">
        <f>IF(O51="","",IF(SUMIF($N$8:$N$507,"&gt;"&amp;N51)/SUMIF($N$8:$N$507,"&gt;0")&lt;$B$6,"A",IF(SUMIF($N$8:$N$507,"&gt;"&amp;N51)/SUMIF($N$8:$N$507,"&gt;0")&lt;$D$6,"B","C")))</f>
        <v/>
      </c>
      <c r="R51" s="29">
        <f>IF(O51="","",IF(COUNT(B51:M51)&lt;3,"",STDEVP(B51:M51)/AVERAGE(B51:M51)))</f>
        <v/>
      </c>
      <c r="S51" s="28">
        <f>IF(R51="","",IF(R51&lt;=$G$6,"X",IF(R51&lt;=$I$6,"Y","Z")))</f>
        <v/>
      </c>
    </row>
    <row r="52">
      <c r="A52" s="24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6">
        <f>IF(COUNT(B52:M52)=0,"",SUM(B52:M52))</f>
        <v/>
      </c>
      <c r="O52" s="27">
        <f>IF(N52="","",IF(N52&lt;=0,"",N52/SUMIF($N$8:$N$507,"&gt;0")))</f>
        <v/>
      </c>
      <c r="P52" s="27">
        <f>IF(O52="","",SUMIF($N$8:$N$507,"&gt;="&amp;N52)/SUMIF($N$8:$N$507,"&gt;0"))</f>
        <v/>
      </c>
      <c r="Q52" s="28">
        <f>IF(O52="","",IF(SUMIF($N$8:$N$507,"&gt;"&amp;N52)/SUMIF($N$8:$N$507,"&gt;0")&lt;$B$6,"A",IF(SUMIF($N$8:$N$507,"&gt;"&amp;N52)/SUMIF($N$8:$N$507,"&gt;0")&lt;$D$6,"B","C")))</f>
        <v/>
      </c>
      <c r="R52" s="29">
        <f>IF(O52="","",IF(COUNT(B52:M52)&lt;3,"",STDEVP(B52:M52)/AVERAGE(B52:M52)))</f>
        <v/>
      </c>
      <c r="S52" s="28">
        <f>IF(R52="","",IF(R52&lt;=$G$6,"X",IF(R52&lt;=$I$6,"Y","Z")))</f>
        <v/>
      </c>
    </row>
    <row r="53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6">
        <f>IF(COUNT(B53:M53)=0,"",SUM(B53:M53))</f>
        <v/>
      </c>
      <c r="O53" s="27">
        <f>IF(N53="","",IF(N53&lt;=0,"",N53/SUMIF($N$8:$N$507,"&gt;0")))</f>
        <v/>
      </c>
      <c r="P53" s="27">
        <f>IF(O53="","",SUMIF($N$8:$N$507,"&gt;="&amp;N53)/SUMIF($N$8:$N$507,"&gt;0"))</f>
        <v/>
      </c>
      <c r="Q53" s="28">
        <f>IF(O53="","",IF(SUMIF($N$8:$N$507,"&gt;"&amp;N53)/SUMIF($N$8:$N$507,"&gt;0")&lt;$B$6,"A",IF(SUMIF($N$8:$N$507,"&gt;"&amp;N53)/SUMIF($N$8:$N$507,"&gt;0")&lt;$D$6,"B","C")))</f>
        <v/>
      </c>
      <c r="R53" s="29">
        <f>IF(O53="","",IF(COUNT(B53:M53)&lt;3,"",STDEVP(B53:M53)/AVERAGE(B53:M53)))</f>
        <v/>
      </c>
      <c r="S53" s="28">
        <f>IF(R53="","",IF(R53&lt;=$G$6,"X",IF(R53&lt;=$I$6,"Y","Z")))</f>
        <v/>
      </c>
    </row>
    <row r="54">
      <c r="A54" s="24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6">
        <f>IF(COUNT(B54:M54)=0,"",SUM(B54:M54))</f>
        <v/>
      </c>
      <c r="O54" s="27">
        <f>IF(N54="","",IF(N54&lt;=0,"",N54/SUMIF($N$8:$N$507,"&gt;0")))</f>
        <v/>
      </c>
      <c r="P54" s="27">
        <f>IF(O54="","",SUMIF($N$8:$N$507,"&gt;="&amp;N54)/SUMIF($N$8:$N$507,"&gt;0"))</f>
        <v/>
      </c>
      <c r="Q54" s="28">
        <f>IF(O54="","",IF(SUMIF($N$8:$N$507,"&gt;"&amp;N54)/SUMIF($N$8:$N$507,"&gt;0")&lt;$B$6,"A",IF(SUMIF($N$8:$N$507,"&gt;"&amp;N54)/SUMIF($N$8:$N$507,"&gt;0")&lt;$D$6,"B","C")))</f>
        <v/>
      </c>
      <c r="R54" s="29">
        <f>IF(O54="","",IF(COUNT(B54:M54)&lt;3,"",STDEVP(B54:M54)/AVERAGE(B54:M54)))</f>
        <v/>
      </c>
      <c r="S54" s="28">
        <f>IF(R54="","",IF(R54&lt;=$G$6,"X",IF(R54&lt;=$I$6,"Y","Z")))</f>
        <v/>
      </c>
    </row>
    <row r="55">
      <c r="A55" s="24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6">
        <f>IF(COUNT(B55:M55)=0,"",SUM(B55:M55))</f>
        <v/>
      </c>
      <c r="O55" s="27">
        <f>IF(N55="","",IF(N55&lt;=0,"",N55/SUMIF($N$8:$N$507,"&gt;0")))</f>
        <v/>
      </c>
      <c r="P55" s="27">
        <f>IF(O55="","",SUMIF($N$8:$N$507,"&gt;="&amp;N55)/SUMIF($N$8:$N$507,"&gt;0"))</f>
        <v/>
      </c>
      <c r="Q55" s="28">
        <f>IF(O55="","",IF(SUMIF($N$8:$N$507,"&gt;"&amp;N55)/SUMIF($N$8:$N$507,"&gt;0")&lt;$B$6,"A",IF(SUMIF($N$8:$N$507,"&gt;"&amp;N55)/SUMIF($N$8:$N$507,"&gt;0")&lt;$D$6,"B","C")))</f>
        <v/>
      </c>
      <c r="R55" s="29">
        <f>IF(O55="","",IF(COUNT(B55:M55)&lt;3,"",STDEVP(B55:M55)/AVERAGE(B55:M55)))</f>
        <v/>
      </c>
      <c r="S55" s="28">
        <f>IF(R55="","",IF(R55&lt;=$G$6,"X",IF(R55&lt;=$I$6,"Y","Z")))</f>
        <v/>
      </c>
    </row>
    <row r="56">
      <c r="A56" s="24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6">
        <f>IF(COUNT(B56:M56)=0,"",SUM(B56:M56))</f>
        <v/>
      </c>
      <c r="O56" s="27">
        <f>IF(N56="","",IF(N56&lt;=0,"",N56/SUMIF($N$8:$N$507,"&gt;0")))</f>
        <v/>
      </c>
      <c r="P56" s="27">
        <f>IF(O56="","",SUMIF($N$8:$N$507,"&gt;="&amp;N56)/SUMIF($N$8:$N$507,"&gt;0"))</f>
        <v/>
      </c>
      <c r="Q56" s="28">
        <f>IF(O56="","",IF(SUMIF($N$8:$N$507,"&gt;"&amp;N56)/SUMIF($N$8:$N$507,"&gt;0")&lt;$B$6,"A",IF(SUMIF($N$8:$N$507,"&gt;"&amp;N56)/SUMIF($N$8:$N$507,"&gt;0")&lt;$D$6,"B","C")))</f>
        <v/>
      </c>
      <c r="R56" s="29">
        <f>IF(O56="","",IF(COUNT(B56:M56)&lt;3,"",STDEVP(B56:M56)/AVERAGE(B56:M56)))</f>
        <v/>
      </c>
      <c r="S56" s="28">
        <f>IF(R56="","",IF(R56&lt;=$G$6,"X",IF(R56&lt;=$I$6,"Y","Z")))</f>
        <v/>
      </c>
    </row>
    <row r="57">
      <c r="A57" s="24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6">
        <f>IF(COUNT(B57:M57)=0,"",SUM(B57:M57))</f>
        <v/>
      </c>
      <c r="O57" s="27">
        <f>IF(N57="","",IF(N57&lt;=0,"",N57/SUMIF($N$8:$N$507,"&gt;0")))</f>
        <v/>
      </c>
      <c r="P57" s="27">
        <f>IF(O57="","",SUMIF($N$8:$N$507,"&gt;="&amp;N57)/SUMIF($N$8:$N$507,"&gt;0"))</f>
        <v/>
      </c>
      <c r="Q57" s="28">
        <f>IF(O57="","",IF(SUMIF($N$8:$N$507,"&gt;"&amp;N57)/SUMIF($N$8:$N$507,"&gt;0")&lt;$B$6,"A",IF(SUMIF($N$8:$N$507,"&gt;"&amp;N57)/SUMIF($N$8:$N$507,"&gt;0")&lt;$D$6,"B","C")))</f>
        <v/>
      </c>
      <c r="R57" s="29">
        <f>IF(O57="","",IF(COUNT(B57:M57)&lt;3,"",STDEVP(B57:M57)/AVERAGE(B57:M57)))</f>
        <v/>
      </c>
      <c r="S57" s="28">
        <f>IF(R57="","",IF(R57&lt;=$G$6,"X",IF(R57&lt;=$I$6,"Y","Z")))</f>
        <v/>
      </c>
    </row>
    <row r="58">
      <c r="A58" s="24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6">
        <f>IF(COUNT(B58:M58)=0,"",SUM(B58:M58))</f>
        <v/>
      </c>
      <c r="O58" s="27">
        <f>IF(N58="","",IF(N58&lt;=0,"",N58/SUMIF($N$8:$N$507,"&gt;0")))</f>
        <v/>
      </c>
      <c r="P58" s="27">
        <f>IF(O58="","",SUMIF($N$8:$N$507,"&gt;="&amp;N58)/SUMIF($N$8:$N$507,"&gt;0"))</f>
        <v/>
      </c>
      <c r="Q58" s="28">
        <f>IF(O58="","",IF(SUMIF($N$8:$N$507,"&gt;"&amp;N58)/SUMIF($N$8:$N$507,"&gt;0")&lt;$B$6,"A",IF(SUMIF($N$8:$N$507,"&gt;"&amp;N58)/SUMIF($N$8:$N$507,"&gt;0")&lt;$D$6,"B","C")))</f>
        <v/>
      </c>
      <c r="R58" s="29">
        <f>IF(O58="","",IF(COUNT(B58:M58)&lt;3,"",STDEVP(B58:M58)/AVERAGE(B58:M58)))</f>
        <v/>
      </c>
      <c r="S58" s="28">
        <f>IF(R58="","",IF(R58&lt;=$G$6,"X",IF(R58&lt;=$I$6,"Y","Z")))</f>
        <v/>
      </c>
    </row>
    <row r="59">
      <c r="A59" s="24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6">
        <f>IF(COUNT(B59:M59)=0,"",SUM(B59:M59))</f>
        <v/>
      </c>
      <c r="O59" s="27">
        <f>IF(N59="","",IF(N59&lt;=0,"",N59/SUMIF($N$8:$N$507,"&gt;0")))</f>
        <v/>
      </c>
      <c r="P59" s="27">
        <f>IF(O59="","",SUMIF($N$8:$N$507,"&gt;="&amp;N59)/SUMIF($N$8:$N$507,"&gt;0"))</f>
        <v/>
      </c>
      <c r="Q59" s="28">
        <f>IF(O59="","",IF(SUMIF($N$8:$N$507,"&gt;"&amp;N59)/SUMIF($N$8:$N$507,"&gt;0")&lt;$B$6,"A",IF(SUMIF($N$8:$N$507,"&gt;"&amp;N59)/SUMIF($N$8:$N$507,"&gt;0")&lt;$D$6,"B","C")))</f>
        <v/>
      </c>
      <c r="R59" s="29">
        <f>IF(O59="","",IF(COUNT(B59:M59)&lt;3,"",STDEVP(B59:M59)/AVERAGE(B59:M59)))</f>
        <v/>
      </c>
      <c r="S59" s="28">
        <f>IF(R59="","",IF(R59&lt;=$G$6,"X",IF(R59&lt;=$I$6,"Y","Z")))</f>
        <v/>
      </c>
    </row>
    <row r="60">
      <c r="A60" s="2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6">
        <f>IF(COUNT(B60:M60)=0,"",SUM(B60:M60))</f>
        <v/>
      </c>
      <c r="O60" s="27">
        <f>IF(N60="","",IF(N60&lt;=0,"",N60/SUMIF($N$8:$N$507,"&gt;0")))</f>
        <v/>
      </c>
      <c r="P60" s="27">
        <f>IF(O60="","",SUMIF($N$8:$N$507,"&gt;="&amp;N60)/SUMIF($N$8:$N$507,"&gt;0"))</f>
        <v/>
      </c>
      <c r="Q60" s="28">
        <f>IF(O60="","",IF(SUMIF($N$8:$N$507,"&gt;"&amp;N60)/SUMIF($N$8:$N$507,"&gt;0")&lt;$B$6,"A",IF(SUMIF($N$8:$N$507,"&gt;"&amp;N60)/SUMIF($N$8:$N$507,"&gt;0")&lt;$D$6,"B","C")))</f>
        <v/>
      </c>
      <c r="R60" s="29">
        <f>IF(O60="","",IF(COUNT(B60:M60)&lt;3,"",STDEVP(B60:M60)/AVERAGE(B60:M60)))</f>
        <v/>
      </c>
      <c r="S60" s="28">
        <f>IF(R60="","",IF(R60&lt;=$G$6,"X",IF(R60&lt;=$I$6,"Y","Z")))</f>
        <v/>
      </c>
    </row>
    <row r="61">
      <c r="A61" s="24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6">
        <f>IF(COUNT(B61:M61)=0,"",SUM(B61:M61))</f>
        <v/>
      </c>
      <c r="O61" s="27">
        <f>IF(N61="","",IF(N61&lt;=0,"",N61/SUMIF($N$8:$N$507,"&gt;0")))</f>
        <v/>
      </c>
      <c r="P61" s="27">
        <f>IF(O61="","",SUMIF($N$8:$N$507,"&gt;="&amp;N61)/SUMIF($N$8:$N$507,"&gt;0"))</f>
        <v/>
      </c>
      <c r="Q61" s="28">
        <f>IF(O61="","",IF(SUMIF($N$8:$N$507,"&gt;"&amp;N61)/SUMIF($N$8:$N$507,"&gt;0")&lt;$B$6,"A",IF(SUMIF($N$8:$N$507,"&gt;"&amp;N61)/SUMIF($N$8:$N$507,"&gt;0")&lt;$D$6,"B","C")))</f>
        <v/>
      </c>
      <c r="R61" s="29">
        <f>IF(O61="","",IF(COUNT(B61:M61)&lt;3,"",STDEVP(B61:M61)/AVERAGE(B61:M61)))</f>
        <v/>
      </c>
      <c r="S61" s="28">
        <f>IF(R61="","",IF(R61&lt;=$G$6,"X",IF(R61&lt;=$I$6,"Y","Z")))</f>
        <v/>
      </c>
    </row>
    <row r="62">
      <c r="A62" s="24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6">
        <f>IF(COUNT(B62:M62)=0,"",SUM(B62:M62))</f>
        <v/>
      </c>
      <c r="O62" s="27">
        <f>IF(N62="","",IF(N62&lt;=0,"",N62/SUMIF($N$8:$N$507,"&gt;0")))</f>
        <v/>
      </c>
      <c r="P62" s="27">
        <f>IF(O62="","",SUMIF($N$8:$N$507,"&gt;="&amp;N62)/SUMIF($N$8:$N$507,"&gt;0"))</f>
        <v/>
      </c>
      <c r="Q62" s="28">
        <f>IF(O62="","",IF(SUMIF($N$8:$N$507,"&gt;"&amp;N62)/SUMIF($N$8:$N$507,"&gt;0")&lt;$B$6,"A",IF(SUMIF($N$8:$N$507,"&gt;"&amp;N62)/SUMIF($N$8:$N$507,"&gt;0")&lt;$D$6,"B","C")))</f>
        <v/>
      </c>
      <c r="R62" s="29">
        <f>IF(O62="","",IF(COUNT(B62:M62)&lt;3,"",STDEVP(B62:M62)/AVERAGE(B62:M62)))</f>
        <v/>
      </c>
      <c r="S62" s="28">
        <f>IF(R62="","",IF(R62&lt;=$G$6,"X",IF(R62&lt;=$I$6,"Y","Z")))</f>
        <v/>
      </c>
    </row>
    <row r="63">
      <c r="A63" s="24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6">
        <f>IF(COUNT(B63:M63)=0,"",SUM(B63:M63))</f>
        <v/>
      </c>
      <c r="O63" s="27">
        <f>IF(N63="","",IF(N63&lt;=0,"",N63/SUMIF($N$8:$N$507,"&gt;0")))</f>
        <v/>
      </c>
      <c r="P63" s="27">
        <f>IF(O63="","",SUMIF($N$8:$N$507,"&gt;="&amp;N63)/SUMIF($N$8:$N$507,"&gt;0"))</f>
        <v/>
      </c>
      <c r="Q63" s="28">
        <f>IF(O63="","",IF(SUMIF($N$8:$N$507,"&gt;"&amp;N63)/SUMIF($N$8:$N$507,"&gt;0")&lt;$B$6,"A",IF(SUMIF($N$8:$N$507,"&gt;"&amp;N63)/SUMIF($N$8:$N$507,"&gt;0")&lt;$D$6,"B","C")))</f>
        <v/>
      </c>
      <c r="R63" s="29">
        <f>IF(O63="","",IF(COUNT(B63:M63)&lt;3,"",STDEVP(B63:M63)/AVERAGE(B63:M63)))</f>
        <v/>
      </c>
      <c r="S63" s="28">
        <f>IF(R63="","",IF(R63&lt;=$G$6,"X",IF(R63&lt;=$I$6,"Y","Z")))</f>
        <v/>
      </c>
    </row>
    <row r="64">
      <c r="A64" s="24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6">
        <f>IF(COUNT(B64:M64)=0,"",SUM(B64:M64))</f>
        <v/>
      </c>
      <c r="O64" s="27">
        <f>IF(N64="","",IF(N64&lt;=0,"",N64/SUMIF($N$8:$N$507,"&gt;0")))</f>
        <v/>
      </c>
      <c r="P64" s="27">
        <f>IF(O64="","",SUMIF($N$8:$N$507,"&gt;="&amp;N64)/SUMIF($N$8:$N$507,"&gt;0"))</f>
        <v/>
      </c>
      <c r="Q64" s="28">
        <f>IF(O64="","",IF(SUMIF($N$8:$N$507,"&gt;"&amp;N64)/SUMIF($N$8:$N$507,"&gt;0")&lt;$B$6,"A",IF(SUMIF($N$8:$N$507,"&gt;"&amp;N64)/SUMIF($N$8:$N$507,"&gt;0")&lt;$D$6,"B","C")))</f>
        <v/>
      </c>
      <c r="R64" s="29">
        <f>IF(O64="","",IF(COUNT(B64:M64)&lt;3,"",STDEVP(B64:M64)/AVERAGE(B64:M64)))</f>
        <v/>
      </c>
      <c r="S64" s="28">
        <f>IF(R64="","",IF(R64&lt;=$G$6,"X",IF(R64&lt;=$I$6,"Y","Z")))</f>
        <v/>
      </c>
    </row>
    <row r="65">
      <c r="A65" s="24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6">
        <f>IF(COUNT(B65:M65)=0,"",SUM(B65:M65))</f>
        <v/>
      </c>
      <c r="O65" s="27">
        <f>IF(N65="","",IF(N65&lt;=0,"",N65/SUMIF($N$8:$N$507,"&gt;0")))</f>
        <v/>
      </c>
      <c r="P65" s="27">
        <f>IF(O65="","",SUMIF($N$8:$N$507,"&gt;="&amp;N65)/SUMIF($N$8:$N$507,"&gt;0"))</f>
        <v/>
      </c>
      <c r="Q65" s="28">
        <f>IF(O65="","",IF(SUMIF($N$8:$N$507,"&gt;"&amp;N65)/SUMIF($N$8:$N$507,"&gt;0")&lt;$B$6,"A",IF(SUMIF($N$8:$N$507,"&gt;"&amp;N65)/SUMIF($N$8:$N$507,"&gt;0")&lt;$D$6,"B","C")))</f>
        <v/>
      </c>
      <c r="R65" s="29">
        <f>IF(O65="","",IF(COUNT(B65:M65)&lt;3,"",STDEVP(B65:M65)/AVERAGE(B65:M65)))</f>
        <v/>
      </c>
      <c r="S65" s="28">
        <f>IF(R65="","",IF(R65&lt;=$G$6,"X",IF(R65&lt;=$I$6,"Y","Z")))</f>
        <v/>
      </c>
    </row>
    <row r="66">
      <c r="A66" s="24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6">
        <f>IF(COUNT(B66:M66)=0,"",SUM(B66:M66))</f>
        <v/>
      </c>
      <c r="O66" s="27">
        <f>IF(N66="","",IF(N66&lt;=0,"",N66/SUMIF($N$8:$N$507,"&gt;0")))</f>
        <v/>
      </c>
      <c r="P66" s="27">
        <f>IF(O66="","",SUMIF($N$8:$N$507,"&gt;="&amp;N66)/SUMIF($N$8:$N$507,"&gt;0"))</f>
        <v/>
      </c>
      <c r="Q66" s="28">
        <f>IF(O66="","",IF(SUMIF($N$8:$N$507,"&gt;"&amp;N66)/SUMIF($N$8:$N$507,"&gt;0")&lt;$B$6,"A",IF(SUMIF($N$8:$N$507,"&gt;"&amp;N66)/SUMIF($N$8:$N$507,"&gt;0")&lt;$D$6,"B","C")))</f>
        <v/>
      </c>
      <c r="R66" s="29">
        <f>IF(O66="","",IF(COUNT(B66:M66)&lt;3,"",STDEVP(B66:M66)/AVERAGE(B66:M66)))</f>
        <v/>
      </c>
      <c r="S66" s="28">
        <f>IF(R66="","",IF(R66&lt;=$G$6,"X",IF(R66&lt;=$I$6,"Y","Z")))</f>
        <v/>
      </c>
    </row>
    <row r="67">
      <c r="A67" s="24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6">
        <f>IF(COUNT(B67:M67)=0,"",SUM(B67:M67))</f>
        <v/>
      </c>
      <c r="O67" s="27">
        <f>IF(N67="","",IF(N67&lt;=0,"",N67/SUMIF($N$8:$N$507,"&gt;0")))</f>
        <v/>
      </c>
      <c r="P67" s="27">
        <f>IF(O67="","",SUMIF($N$8:$N$507,"&gt;="&amp;N67)/SUMIF($N$8:$N$507,"&gt;0"))</f>
        <v/>
      </c>
      <c r="Q67" s="28">
        <f>IF(O67="","",IF(SUMIF($N$8:$N$507,"&gt;"&amp;N67)/SUMIF($N$8:$N$507,"&gt;0")&lt;$B$6,"A",IF(SUMIF($N$8:$N$507,"&gt;"&amp;N67)/SUMIF($N$8:$N$507,"&gt;0")&lt;$D$6,"B","C")))</f>
        <v/>
      </c>
      <c r="R67" s="29">
        <f>IF(O67="","",IF(COUNT(B67:M67)&lt;3,"",STDEVP(B67:M67)/AVERAGE(B67:M67)))</f>
        <v/>
      </c>
      <c r="S67" s="28">
        <f>IF(R67="","",IF(R67&lt;=$G$6,"X",IF(R67&lt;=$I$6,"Y","Z")))</f>
        <v/>
      </c>
    </row>
    <row r="68">
      <c r="A68" s="24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6">
        <f>IF(COUNT(B68:M68)=0,"",SUM(B68:M68))</f>
        <v/>
      </c>
      <c r="O68" s="27">
        <f>IF(N68="","",IF(N68&lt;=0,"",N68/SUMIF($N$8:$N$507,"&gt;0")))</f>
        <v/>
      </c>
      <c r="P68" s="27">
        <f>IF(O68="","",SUMIF($N$8:$N$507,"&gt;="&amp;N68)/SUMIF($N$8:$N$507,"&gt;0"))</f>
        <v/>
      </c>
      <c r="Q68" s="28">
        <f>IF(O68="","",IF(SUMIF($N$8:$N$507,"&gt;"&amp;N68)/SUMIF($N$8:$N$507,"&gt;0")&lt;$B$6,"A",IF(SUMIF($N$8:$N$507,"&gt;"&amp;N68)/SUMIF($N$8:$N$507,"&gt;0")&lt;$D$6,"B","C")))</f>
        <v/>
      </c>
      <c r="R68" s="29">
        <f>IF(O68="","",IF(COUNT(B68:M68)&lt;3,"",STDEVP(B68:M68)/AVERAGE(B68:M68)))</f>
        <v/>
      </c>
      <c r="S68" s="28">
        <f>IF(R68="","",IF(R68&lt;=$G$6,"X",IF(R68&lt;=$I$6,"Y","Z")))</f>
        <v/>
      </c>
    </row>
    <row r="69">
      <c r="A69" s="24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6">
        <f>IF(COUNT(B69:M69)=0,"",SUM(B69:M69))</f>
        <v/>
      </c>
      <c r="O69" s="27">
        <f>IF(N69="","",IF(N69&lt;=0,"",N69/SUMIF($N$8:$N$507,"&gt;0")))</f>
        <v/>
      </c>
      <c r="P69" s="27">
        <f>IF(O69="","",SUMIF($N$8:$N$507,"&gt;="&amp;N69)/SUMIF($N$8:$N$507,"&gt;0"))</f>
        <v/>
      </c>
      <c r="Q69" s="28">
        <f>IF(O69="","",IF(SUMIF($N$8:$N$507,"&gt;"&amp;N69)/SUMIF($N$8:$N$507,"&gt;0")&lt;$B$6,"A",IF(SUMIF($N$8:$N$507,"&gt;"&amp;N69)/SUMIF($N$8:$N$507,"&gt;0")&lt;$D$6,"B","C")))</f>
        <v/>
      </c>
      <c r="R69" s="29">
        <f>IF(O69="","",IF(COUNT(B69:M69)&lt;3,"",STDEVP(B69:M69)/AVERAGE(B69:M69)))</f>
        <v/>
      </c>
      <c r="S69" s="28">
        <f>IF(R69="","",IF(R69&lt;=$G$6,"X",IF(R69&lt;=$I$6,"Y","Z")))</f>
        <v/>
      </c>
    </row>
    <row r="70">
      <c r="A70" s="24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6">
        <f>IF(COUNT(B70:M70)=0,"",SUM(B70:M70))</f>
        <v/>
      </c>
      <c r="O70" s="27">
        <f>IF(N70="","",IF(N70&lt;=0,"",N70/SUMIF($N$8:$N$507,"&gt;0")))</f>
        <v/>
      </c>
      <c r="P70" s="27">
        <f>IF(O70="","",SUMIF($N$8:$N$507,"&gt;="&amp;N70)/SUMIF($N$8:$N$507,"&gt;0"))</f>
        <v/>
      </c>
      <c r="Q70" s="28">
        <f>IF(O70="","",IF(SUMIF($N$8:$N$507,"&gt;"&amp;N70)/SUMIF($N$8:$N$507,"&gt;0")&lt;$B$6,"A",IF(SUMIF($N$8:$N$507,"&gt;"&amp;N70)/SUMIF($N$8:$N$507,"&gt;0")&lt;$D$6,"B","C")))</f>
        <v/>
      </c>
      <c r="R70" s="29">
        <f>IF(O70="","",IF(COUNT(B70:M70)&lt;3,"",STDEVP(B70:M70)/AVERAGE(B70:M70)))</f>
        <v/>
      </c>
      <c r="S70" s="28">
        <f>IF(R70="","",IF(R70&lt;=$G$6,"X",IF(R70&lt;=$I$6,"Y","Z")))</f>
        <v/>
      </c>
    </row>
    <row r="71">
      <c r="A71" s="24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6">
        <f>IF(COUNT(B71:M71)=0,"",SUM(B71:M71))</f>
        <v/>
      </c>
      <c r="O71" s="27">
        <f>IF(N71="","",IF(N71&lt;=0,"",N71/SUMIF($N$8:$N$507,"&gt;0")))</f>
        <v/>
      </c>
      <c r="P71" s="27">
        <f>IF(O71="","",SUMIF($N$8:$N$507,"&gt;="&amp;N71)/SUMIF($N$8:$N$507,"&gt;0"))</f>
        <v/>
      </c>
      <c r="Q71" s="28">
        <f>IF(O71="","",IF(SUMIF($N$8:$N$507,"&gt;"&amp;N71)/SUMIF($N$8:$N$507,"&gt;0")&lt;$B$6,"A",IF(SUMIF($N$8:$N$507,"&gt;"&amp;N71)/SUMIF($N$8:$N$507,"&gt;0")&lt;$D$6,"B","C")))</f>
        <v/>
      </c>
      <c r="R71" s="29">
        <f>IF(O71="","",IF(COUNT(B71:M71)&lt;3,"",STDEVP(B71:M71)/AVERAGE(B71:M71)))</f>
        <v/>
      </c>
      <c r="S71" s="28">
        <f>IF(R71="","",IF(R71&lt;=$G$6,"X",IF(R71&lt;=$I$6,"Y","Z")))</f>
        <v/>
      </c>
    </row>
    <row r="72">
      <c r="A72" s="24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6">
        <f>IF(COUNT(B72:M72)=0,"",SUM(B72:M72))</f>
        <v/>
      </c>
      <c r="O72" s="27">
        <f>IF(N72="","",IF(N72&lt;=0,"",N72/SUMIF($N$8:$N$507,"&gt;0")))</f>
        <v/>
      </c>
      <c r="P72" s="27">
        <f>IF(O72="","",SUMIF($N$8:$N$507,"&gt;="&amp;N72)/SUMIF($N$8:$N$507,"&gt;0"))</f>
        <v/>
      </c>
      <c r="Q72" s="28">
        <f>IF(O72="","",IF(SUMIF($N$8:$N$507,"&gt;"&amp;N72)/SUMIF($N$8:$N$507,"&gt;0")&lt;$B$6,"A",IF(SUMIF($N$8:$N$507,"&gt;"&amp;N72)/SUMIF($N$8:$N$507,"&gt;0")&lt;$D$6,"B","C")))</f>
        <v/>
      </c>
      <c r="R72" s="29">
        <f>IF(O72="","",IF(COUNT(B72:M72)&lt;3,"",STDEVP(B72:M72)/AVERAGE(B72:M72)))</f>
        <v/>
      </c>
      <c r="S72" s="28">
        <f>IF(R72="","",IF(R72&lt;=$G$6,"X",IF(R72&lt;=$I$6,"Y","Z")))</f>
        <v/>
      </c>
    </row>
    <row r="73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6">
        <f>IF(COUNT(B73:M73)=0,"",SUM(B73:M73))</f>
        <v/>
      </c>
      <c r="O73" s="27">
        <f>IF(N73="","",IF(N73&lt;=0,"",N73/SUMIF($N$8:$N$507,"&gt;0")))</f>
        <v/>
      </c>
      <c r="P73" s="27">
        <f>IF(O73="","",SUMIF($N$8:$N$507,"&gt;="&amp;N73)/SUMIF($N$8:$N$507,"&gt;0"))</f>
        <v/>
      </c>
      <c r="Q73" s="28">
        <f>IF(O73="","",IF(SUMIF($N$8:$N$507,"&gt;"&amp;N73)/SUMIF($N$8:$N$507,"&gt;0")&lt;$B$6,"A",IF(SUMIF($N$8:$N$507,"&gt;"&amp;N73)/SUMIF($N$8:$N$507,"&gt;0")&lt;$D$6,"B","C")))</f>
        <v/>
      </c>
      <c r="R73" s="29">
        <f>IF(O73="","",IF(COUNT(B73:M73)&lt;3,"",STDEVP(B73:M73)/AVERAGE(B73:M73)))</f>
        <v/>
      </c>
      <c r="S73" s="28">
        <f>IF(R73="","",IF(R73&lt;=$G$6,"X",IF(R73&lt;=$I$6,"Y","Z")))</f>
        <v/>
      </c>
    </row>
    <row r="74">
      <c r="A74" s="24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6">
        <f>IF(COUNT(B74:M74)=0,"",SUM(B74:M74))</f>
        <v/>
      </c>
      <c r="O74" s="27">
        <f>IF(N74="","",IF(N74&lt;=0,"",N74/SUMIF($N$8:$N$507,"&gt;0")))</f>
        <v/>
      </c>
      <c r="P74" s="27">
        <f>IF(O74="","",SUMIF($N$8:$N$507,"&gt;="&amp;N74)/SUMIF($N$8:$N$507,"&gt;0"))</f>
        <v/>
      </c>
      <c r="Q74" s="28">
        <f>IF(O74="","",IF(SUMIF($N$8:$N$507,"&gt;"&amp;N74)/SUMIF($N$8:$N$507,"&gt;0")&lt;$B$6,"A",IF(SUMIF($N$8:$N$507,"&gt;"&amp;N74)/SUMIF($N$8:$N$507,"&gt;0")&lt;$D$6,"B","C")))</f>
        <v/>
      </c>
      <c r="R74" s="29">
        <f>IF(O74="","",IF(COUNT(B74:M74)&lt;3,"",STDEVP(B74:M74)/AVERAGE(B74:M74)))</f>
        <v/>
      </c>
      <c r="S74" s="28">
        <f>IF(R74="","",IF(R74&lt;=$G$6,"X",IF(R74&lt;=$I$6,"Y","Z")))</f>
        <v/>
      </c>
    </row>
    <row r="75">
      <c r="A75" s="24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6">
        <f>IF(COUNT(B75:M75)=0,"",SUM(B75:M75))</f>
        <v/>
      </c>
      <c r="O75" s="27">
        <f>IF(N75="","",IF(N75&lt;=0,"",N75/SUMIF($N$8:$N$507,"&gt;0")))</f>
        <v/>
      </c>
      <c r="P75" s="27">
        <f>IF(O75="","",SUMIF($N$8:$N$507,"&gt;="&amp;N75)/SUMIF($N$8:$N$507,"&gt;0"))</f>
        <v/>
      </c>
      <c r="Q75" s="28">
        <f>IF(O75="","",IF(SUMIF($N$8:$N$507,"&gt;"&amp;N75)/SUMIF($N$8:$N$507,"&gt;0")&lt;$B$6,"A",IF(SUMIF($N$8:$N$507,"&gt;"&amp;N75)/SUMIF($N$8:$N$507,"&gt;0")&lt;$D$6,"B","C")))</f>
        <v/>
      </c>
      <c r="R75" s="29">
        <f>IF(O75="","",IF(COUNT(B75:M75)&lt;3,"",STDEVP(B75:M75)/AVERAGE(B75:M75)))</f>
        <v/>
      </c>
      <c r="S75" s="28">
        <f>IF(R75="","",IF(R75&lt;=$G$6,"X",IF(R75&lt;=$I$6,"Y","Z")))</f>
        <v/>
      </c>
    </row>
    <row r="76">
      <c r="A76" s="24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6">
        <f>IF(COUNT(B76:M76)=0,"",SUM(B76:M76))</f>
        <v/>
      </c>
      <c r="O76" s="27">
        <f>IF(N76="","",IF(N76&lt;=0,"",N76/SUMIF($N$8:$N$507,"&gt;0")))</f>
        <v/>
      </c>
      <c r="P76" s="27">
        <f>IF(O76="","",SUMIF($N$8:$N$507,"&gt;="&amp;N76)/SUMIF($N$8:$N$507,"&gt;0"))</f>
        <v/>
      </c>
      <c r="Q76" s="28">
        <f>IF(O76="","",IF(SUMIF($N$8:$N$507,"&gt;"&amp;N76)/SUMIF($N$8:$N$507,"&gt;0")&lt;$B$6,"A",IF(SUMIF($N$8:$N$507,"&gt;"&amp;N76)/SUMIF($N$8:$N$507,"&gt;0")&lt;$D$6,"B","C")))</f>
        <v/>
      </c>
      <c r="R76" s="29">
        <f>IF(O76="","",IF(COUNT(B76:M76)&lt;3,"",STDEVP(B76:M76)/AVERAGE(B76:M76)))</f>
        <v/>
      </c>
      <c r="S76" s="28">
        <f>IF(R76="","",IF(R76&lt;=$G$6,"X",IF(R76&lt;=$I$6,"Y","Z")))</f>
        <v/>
      </c>
    </row>
    <row r="77">
      <c r="A77" s="24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6">
        <f>IF(COUNT(B77:M77)=0,"",SUM(B77:M77))</f>
        <v/>
      </c>
      <c r="O77" s="27">
        <f>IF(N77="","",IF(N77&lt;=0,"",N77/SUMIF($N$8:$N$507,"&gt;0")))</f>
        <v/>
      </c>
      <c r="P77" s="27">
        <f>IF(O77="","",SUMIF($N$8:$N$507,"&gt;="&amp;N77)/SUMIF($N$8:$N$507,"&gt;0"))</f>
        <v/>
      </c>
      <c r="Q77" s="28">
        <f>IF(O77="","",IF(SUMIF($N$8:$N$507,"&gt;"&amp;N77)/SUMIF($N$8:$N$507,"&gt;0")&lt;$B$6,"A",IF(SUMIF($N$8:$N$507,"&gt;"&amp;N77)/SUMIF($N$8:$N$507,"&gt;0")&lt;$D$6,"B","C")))</f>
        <v/>
      </c>
      <c r="R77" s="29">
        <f>IF(O77="","",IF(COUNT(B77:M77)&lt;3,"",STDEVP(B77:M77)/AVERAGE(B77:M77)))</f>
        <v/>
      </c>
      <c r="S77" s="28">
        <f>IF(R77="","",IF(R77&lt;=$G$6,"X",IF(R77&lt;=$I$6,"Y","Z")))</f>
        <v/>
      </c>
    </row>
    <row r="78">
      <c r="A78" s="24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6">
        <f>IF(COUNT(B78:M78)=0,"",SUM(B78:M78))</f>
        <v/>
      </c>
      <c r="O78" s="27">
        <f>IF(N78="","",IF(N78&lt;=0,"",N78/SUMIF($N$8:$N$507,"&gt;0")))</f>
        <v/>
      </c>
      <c r="P78" s="27">
        <f>IF(O78="","",SUMIF($N$8:$N$507,"&gt;="&amp;N78)/SUMIF($N$8:$N$507,"&gt;0"))</f>
        <v/>
      </c>
      <c r="Q78" s="28">
        <f>IF(O78="","",IF(SUMIF($N$8:$N$507,"&gt;"&amp;N78)/SUMIF($N$8:$N$507,"&gt;0")&lt;$B$6,"A",IF(SUMIF($N$8:$N$507,"&gt;"&amp;N78)/SUMIF($N$8:$N$507,"&gt;0")&lt;$D$6,"B","C")))</f>
        <v/>
      </c>
      <c r="R78" s="29">
        <f>IF(O78="","",IF(COUNT(B78:M78)&lt;3,"",STDEVP(B78:M78)/AVERAGE(B78:M78)))</f>
        <v/>
      </c>
      <c r="S78" s="28">
        <f>IF(R78="","",IF(R78&lt;=$G$6,"X",IF(R78&lt;=$I$6,"Y","Z")))</f>
        <v/>
      </c>
    </row>
    <row r="79">
      <c r="A79" s="24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6">
        <f>IF(COUNT(B79:M79)=0,"",SUM(B79:M79))</f>
        <v/>
      </c>
      <c r="O79" s="27">
        <f>IF(N79="","",IF(N79&lt;=0,"",N79/SUMIF($N$8:$N$507,"&gt;0")))</f>
        <v/>
      </c>
      <c r="P79" s="27">
        <f>IF(O79="","",SUMIF($N$8:$N$507,"&gt;="&amp;N79)/SUMIF($N$8:$N$507,"&gt;0"))</f>
        <v/>
      </c>
      <c r="Q79" s="28">
        <f>IF(O79="","",IF(SUMIF($N$8:$N$507,"&gt;"&amp;N79)/SUMIF($N$8:$N$507,"&gt;0")&lt;$B$6,"A",IF(SUMIF($N$8:$N$507,"&gt;"&amp;N79)/SUMIF($N$8:$N$507,"&gt;0")&lt;$D$6,"B","C")))</f>
        <v/>
      </c>
      <c r="R79" s="29">
        <f>IF(O79="","",IF(COUNT(B79:M79)&lt;3,"",STDEVP(B79:M79)/AVERAGE(B79:M79)))</f>
        <v/>
      </c>
      <c r="S79" s="28">
        <f>IF(R79="","",IF(R79&lt;=$G$6,"X",IF(R79&lt;=$I$6,"Y","Z")))</f>
        <v/>
      </c>
    </row>
    <row r="80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6">
        <f>IF(COUNT(B80:M80)=0,"",SUM(B80:M80))</f>
        <v/>
      </c>
      <c r="O80" s="27">
        <f>IF(N80="","",IF(N80&lt;=0,"",N80/SUMIF($N$8:$N$507,"&gt;0")))</f>
        <v/>
      </c>
      <c r="P80" s="27">
        <f>IF(O80="","",SUMIF($N$8:$N$507,"&gt;="&amp;N80)/SUMIF($N$8:$N$507,"&gt;0"))</f>
        <v/>
      </c>
      <c r="Q80" s="28">
        <f>IF(O80="","",IF(SUMIF($N$8:$N$507,"&gt;"&amp;N80)/SUMIF($N$8:$N$507,"&gt;0")&lt;$B$6,"A",IF(SUMIF($N$8:$N$507,"&gt;"&amp;N80)/SUMIF($N$8:$N$507,"&gt;0")&lt;$D$6,"B","C")))</f>
        <v/>
      </c>
      <c r="R80" s="29">
        <f>IF(O80="","",IF(COUNT(B80:M80)&lt;3,"",STDEVP(B80:M80)/AVERAGE(B80:M80)))</f>
        <v/>
      </c>
      <c r="S80" s="28">
        <f>IF(R80="","",IF(R80&lt;=$G$6,"X",IF(R80&lt;=$I$6,"Y","Z")))</f>
        <v/>
      </c>
    </row>
    <row r="81">
      <c r="A81" s="24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6">
        <f>IF(COUNT(B81:M81)=0,"",SUM(B81:M81))</f>
        <v/>
      </c>
      <c r="O81" s="27">
        <f>IF(N81="","",IF(N81&lt;=0,"",N81/SUMIF($N$8:$N$507,"&gt;0")))</f>
        <v/>
      </c>
      <c r="P81" s="27">
        <f>IF(O81="","",SUMIF($N$8:$N$507,"&gt;="&amp;N81)/SUMIF($N$8:$N$507,"&gt;0"))</f>
        <v/>
      </c>
      <c r="Q81" s="28">
        <f>IF(O81="","",IF(SUMIF($N$8:$N$507,"&gt;"&amp;N81)/SUMIF($N$8:$N$507,"&gt;0")&lt;$B$6,"A",IF(SUMIF($N$8:$N$507,"&gt;"&amp;N81)/SUMIF($N$8:$N$507,"&gt;0")&lt;$D$6,"B","C")))</f>
        <v/>
      </c>
      <c r="R81" s="29">
        <f>IF(O81="","",IF(COUNT(B81:M81)&lt;3,"",STDEVP(B81:M81)/AVERAGE(B81:M81)))</f>
        <v/>
      </c>
      <c r="S81" s="28">
        <f>IF(R81="","",IF(R81&lt;=$G$6,"X",IF(R81&lt;=$I$6,"Y","Z")))</f>
        <v/>
      </c>
    </row>
    <row r="82">
      <c r="A82" s="24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6">
        <f>IF(COUNT(B82:M82)=0,"",SUM(B82:M82))</f>
        <v/>
      </c>
      <c r="O82" s="27">
        <f>IF(N82="","",IF(N82&lt;=0,"",N82/SUMIF($N$8:$N$507,"&gt;0")))</f>
        <v/>
      </c>
      <c r="P82" s="27">
        <f>IF(O82="","",SUMIF($N$8:$N$507,"&gt;="&amp;N82)/SUMIF($N$8:$N$507,"&gt;0"))</f>
        <v/>
      </c>
      <c r="Q82" s="28">
        <f>IF(O82="","",IF(SUMIF($N$8:$N$507,"&gt;"&amp;N82)/SUMIF($N$8:$N$507,"&gt;0")&lt;$B$6,"A",IF(SUMIF($N$8:$N$507,"&gt;"&amp;N82)/SUMIF($N$8:$N$507,"&gt;0")&lt;$D$6,"B","C")))</f>
        <v/>
      </c>
      <c r="R82" s="29">
        <f>IF(O82="","",IF(COUNT(B82:M82)&lt;3,"",STDEVP(B82:M82)/AVERAGE(B82:M82)))</f>
        <v/>
      </c>
      <c r="S82" s="28">
        <f>IF(R82="","",IF(R82&lt;=$G$6,"X",IF(R82&lt;=$I$6,"Y","Z")))</f>
        <v/>
      </c>
    </row>
    <row r="83">
      <c r="A83" s="24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6">
        <f>IF(COUNT(B83:M83)=0,"",SUM(B83:M83))</f>
        <v/>
      </c>
      <c r="O83" s="27">
        <f>IF(N83="","",IF(N83&lt;=0,"",N83/SUMIF($N$8:$N$507,"&gt;0")))</f>
        <v/>
      </c>
      <c r="P83" s="27">
        <f>IF(O83="","",SUMIF($N$8:$N$507,"&gt;="&amp;N83)/SUMIF($N$8:$N$507,"&gt;0"))</f>
        <v/>
      </c>
      <c r="Q83" s="28">
        <f>IF(O83="","",IF(SUMIF($N$8:$N$507,"&gt;"&amp;N83)/SUMIF($N$8:$N$507,"&gt;0")&lt;$B$6,"A",IF(SUMIF($N$8:$N$507,"&gt;"&amp;N83)/SUMIF($N$8:$N$507,"&gt;0")&lt;$D$6,"B","C")))</f>
        <v/>
      </c>
      <c r="R83" s="29">
        <f>IF(O83="","",IF(COUNT(B83:M83)&lt;3,"",STDEVP(B83:M83)/AVERAGE(B83:M83)))</f>
        <v/>
      </c>
      <c r="S83" s="28">
        <f>IF(R83="","",IF(R83&lt;=$G$6,"X",IF(R83&lt;=$I$6,"Y","Z")))</f>
        <v/>
      </c>
    </row>
    <row r="84">
      <c r="A84" s="24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6">
        <f>IF(COUNT(B84:M84)=0,"",SUM(B84:M84))</f>
        <v/>
      </c>
      <c r="O84" s="27">
        <f>IF(N84="","",IF(N84&lt;=0,"",N84/SUMIF($N$8:$N$507,"&gt;0")))</f>
        <v/>
      </c>
      <c r="P84" s="27">
        <f>IF(O84="","",SUMIF($N$8:$N$507,"&gt;="&amp;N84)/SUMIF($N$8:$N$507,"&gt;0"))</f>
        <v/>
      </c>
      <c r="Q84" s="28">
        <f>IF(O84="","",IF(SUMIF($N$8:$N$507,"&gt;"&amp;N84)/SUMIF($N$8:$N$507,"&gt;0")&lt;$B$6,"A",IF(SUMIF($N$8:$N$507,"&gt;"&amp;N84)/SUMIF($N$8:$N$507,"&gt;0")&lt;$D$6,"B","C")))</f>
        <v/>
      </c>
      <c r="R84" s="29">
        <f>IF(O84="","",IF(COUNT(B84:M84)&lt;3,"",STDEVP(B84:M84)/AVERAGE(B84:M84)))</f>
        <v/>
      </c>
      <c r="S84" s="28">
        <f>IF(R84="","",IF(R84&lt;=$G$6,"X",IF(R84&lt;=$I$6,"Y","Z")))</f>
        <v/>
      </c>
    </row>
    <row r="85">
      <c r="A85" s="24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6">
        <f>IF(COUNT(B85:M85)=0,"",SUM(B85:M85))</f>
        <v/>
      </c>
      <c r="O85" s="27">
        <f>IF(N85="","",IF(N85&lt;=0,"",N85/SUMIF($N$8:$N$507,"&gt;0")))</f>
        <v/>
      </c>
      <c r="P85" s="27">
        <f>IF(O85="","",SUMIF($N$8:$N$507,"&gt;="&amp;N85)/SUMIF($N$8:$N$507,"&gt;0"))</f>
        <v/>
      </c>
      <c r="Q85" s="28">
        <f>IF(O85="","",IF(SUMIF($N$8:$N$507,"&gt;"&amp;N85)/SUMIF($N$8:$N$507,"&gt;0")&lt;$B$6,"A",IF(SUMIF($N$8:$N$507,"&gt;"&amp;N85)/SUMIF($N$8:$N$507,"&gt;0")&lt;$D$6,"B","C")))</f>
        <v/>
      </c>
      <c r="R85" s="29">
        <f>IF(O85="","",IF(COUNT(B85:M85)&lt;3,"",STDEVP(B85:M85)/AVERAGE(B85:M85)))</f>
        <v/>
      </c>
      <c r="S85" s="28">
        <f>IF(R85="","",IF(R85&lt;=$G$6,"X",IF(R85&lt;=$I$6,"Y","Z")))</f>
        <v/>
      </c>
    </row>
    <row r="86">
      <c r="A86" s="24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6">
        <f>IF(COUNT(B86:M86)=0,"",SUM(B86:M86))</f>
        <v/>
      </c>
      <c r="O86" s="27">
        <f>IF(N86="","",IF(N86&lt;=0,"",N86/SUMIF($N$8:$N$507,"&gt;0")))</f>
        <v/>
      </c>
      <c r="P86" s="27">
        <f>IF(O86="","",SUMIF($N$8:$N$507,"&gt;="&amp;N86)/SUMIF($N$8:$N$507,"&gt;0"))</f>
        <v/>
      </c>
      <c r="Q86" s="28">
        <f>IF(O86="","",IF(SUMIF($N$8:$N$507,"&gt;"&amp;N86)/SUMIF($N$8:$N$507,"&gt;0")&lt;$B$6,"A",IF(SUMIF($N$8:$N$507,"&gt;"&amp;N86)/SUMIF($N$8:$N$507,"&gt;0")&lt;$D$6,"B","C")))</f>
        <v/>
      </c>
      <c r="R86" s="29">
        <f>IF(O86="","",IF(COUNT(B86:M86)&lt;3,"",STDEVP(B86:M86)/AVERAGE(B86:M86)))</f>
        <v/>
      </c>
      <c r="S86" s="28">
        <f>IF(R86="","",IF(R86&lt;=$G$6,"X",IF(R86&lt;=$I$6,"Y","Z")))</f>
        <v/>
      </c>
    </row>
    <row r="87">
      <c r="A87" s="24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6">
        <f>IF(COUNT(B87:M87)=0,"",SUM(B87:M87))</f>
        <v/>
      </c>
      <c r="O87" s="27">
        <f>IF(N87="","",IF(N87&lt;=0,"",N87/SUMIF($N$8:$N$507,"&gt;0")))</f>
        <v/>
      </c>
      <c r="P87" s="27">
        <f>IF(O87="","",SUMIF($N$8:$N$507,"&gt;="&amp;N87)/SUMIF($N$8:$N$507,"&gt;0"))</f>
        <v/>
      </c>
      <c r="Q87" s="28">
        <f>IF(O87="","",IF(SUMIF($N$8:$N$507,"&gt;"&amp;N87)/SUMIF($N$8:$N$507,"&gt;0")&lt;$B$6,"A",IF(SUMIF($N$8:$N$507,"&gt;"&amp;N87)/SUMIF($N$8:$N$507,"&gt;0")&lt;$D$6,"B","C")))</f>
        <v/>
      </c>
      <c r="R87" s="29">
        <f>IF(O87="","",IF(COUNT(B87:M87)&lt;3,"",STDEVP(B87:M87)/AVERAGE(B87:M87)))</f>
        <v/>
      </c>
      <c r="S87" s="28">
        <f>IF(R87="","",IF(R87&lt;=$G$6,"X",IF(R87&lt;=$I$6,"Y","Z")))</f>
        <v/>
      </c>
    </row>
    <row r="88">
      <c r="A88" s="24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6">
        <f>IF(COUNT(B88:M88)=0,"",SUM(B88:M88))</f>
        <v/>
      </c>
      <c r="O88" s="27">
        <f>IF(N88="","",IF(N88&lt;=0,"",N88/SUMIF($N$8:$N$507,"&gt;0")))</f>
        <v/>
      </c>
      <c r="P88" s="27">
        <f>IF(O88="","",SUMIF($N$8:$N$507,"&gt;="&amp;N88)/SUMIF($N$8:$N$507,"&gt;0"))</f>
        <v/>
      </c>
      <c r="Q88" s="28">
        <f>IF(O88="","",IF(SUMIF($N$8:$N$507,"&gt;"&amp;N88)/SUMIF($N$8:$N$507,"&gt;0")&lt;$B$6,"A",IF(SUMIF($N$8:$N$507,"&gt;"&amp;N88)/SUMIF($N$8:$N$507,"&gt;0")&lt;$D$6,"B","C")))</f>
        <v/>
      </c>
      <c r="R88" s="29">
        <f>IF(O88="","",IF(COUNT(B88:M88)&lt;3,"",STDEVP(B88:M88)/AVERAGE(B88:M88)))</f>
        <v/>
      </c>
      <c r="S88" s="28">
        <f>IF(R88="","",IF(R88&lt;=$G$6,"X",IF(R88&lt;=$I$6,"Y","Z")))</f>
        <v/>
      </c>
    </row>
    <row r="89">
      <c r="A89" s="24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6">
        <f>IF(COUNT(B89:M89)=0,"",SUM(B89:M89))</f>
        <v/>
      </c>
      <c r="O89" s="27">
        <f>IF(N89="","",IF(N89&lt;=0,"",N89/SUMIF($N$8:$N$507,"&gt;0")))</f>
        <v/>
      </c>
      <c r="P89" s="27">
        <f>IF(O89="","",SUMIF($N$8:$N$507,"&gt;="&amp;N89)/SUMIF($N$8:$N$507,"&gt;0"))</f>
        <v/>
      </c>
      <c r="Q89" s="28">
        <f>IF(O89="","",IF(SUMIF($N$8:$N$507,"&gt;"&amp;N89)/SUMIF($N$8:$N$507,"&gt;0")&lt;$B$6,"A",IF(SUMIF($N$8:$N$507,"&gt;"&amp;N89)/SUMIF($N$8:$N$507,"&gt;0")&lt;$D$6,"B","C")))</f>
        <v/>
      </c>
      <c r="R89" s="29">
        <f>IF(O89="","",IF(COUNT(B89:M89)&lt;3,"",STDEVP(B89:M89)/AVERAGE(B89:M89)))</f>
        <v/>
      </c>
      <c r="S89" s="28">
        <f>IF(R89="","",IF(R89&lt;=$G$6,"X",IF(R89&lt;=$I$6,"Y","Z")))</f>
        <v/>
      </c>
    </row>
    <row r="90">
      <c r="A90" s="24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6">
        <f>IF(COUNT(B90:M90)=0,"",SUM(B90:M90))</f>
        <v/>
      </c>
      <c r="O90" s="27">
        <f>IF(N90="","",IF(N90&lt;=0,"",N90/SUMIF($N$8:$N$507,"&gt;0")))</f>
        <v/>
      </c>
      <c r="P90" s="27">
        <f>IF(O90="","",SUMIF($N$8:$N$507,"&gt;="&amp;N90)/SUMIF($N$8:$N$507,"&gt;0"))</f>
        <v/>
      </c>
      <c r="Q90" s="28">
        <f>IF(O90="","",IF(SUMIF($N$8:$N$507,"&gt;"&amp;N90)/SUMIF($N$8:$N$507,"&gt;0")&lt;$B$6,"A",IF(SUMIF($N$8:$N$507,"&gt;"&amp;N90)/SUMIF($N$8:$N$507,"&gt;0")&lt;$D$6,"B","C")))</f>
        <v/>
      </c>
      <c r="R90" s="29">
        <f>IF(O90="","",IF(COUNT(B90:M90)&lt;3,"",STDEVP(B90:M90)/AVERAGE(B90:M90)))</f>
        <v/>
      </c>
      <c r="S90" s="28">
        <f>IF(R90="","",IF(R90&lt;=$G$6,"X",IF(R90&lt;=$I$6,"Y","Z")))</f>
        <v/>
      </c>
    </row>
    <row r="91">
      <c r="A91" s="24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6">
        <f>IF(COUNT(B91:M91)=0,"",SUM(B91:M91))</f>
        <v/>
      </c>
      <c r="O91" s="27">
        <f>IF(N91="","",IF(N91&lt;=0,"",N91/SUMIF($N$8:$N$507,"&gt;0")))</f>
        <v/>
      </c>
      <c r="P91" s="27">
        <f>IF(O91="","",SUMIF($N$8:$N$507,"&gt;="&amp;N91)/SUMIF($N$8:$N$507,"&gt;0"))</f>
        <v/>
      </c>
      <c r="Q91" s="28">
        <f>IF(O91="","",IF(SUMIF($N$8:$N$507,"&gt;"&amp;N91)/SUMIF($N$8:$N$507,"&gt;0")&lt;$B$6,"A",IF(SUMIF($N$8:$N$507,"&gt;"&amp;N91)/SUMIF($N$8:$N$507,"&gt;0")&lt;$D$6,"B","C")))</f>
        <v/>
      </c>
      <c r="R91" s="29">
        <f>IF(O91="","",IF(COUNT(B91:M91)&lt;3,"",STDEVP(B91:M91)/AVERAGE(B91:M91)))</f>
        <v/>
      </c>
      <c r="S91" s="28">
        <f>IF(R91="","",IF(R91&lt;=$G$6,"X",IF(R91&lt;=$I$6,"Y","Z")))</f>
        <v/>
      </c>
    </row>
    <row r="92">
      <c r="A92" s="24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6">
        <f>IF(COUNT(B92:M92)=0,"",SUM(B92:M92))</f>
        <v/>
      </c>
      <c r="O92" s="27">
        <f>IF(N92="","",IF(N92&lt;=0,"",N92/SUMIF($N$8:$N$507,"&gt;0")))</f>
        <v/>
      </c>
      <c r="P92" s="27">
        <f>IF(O92="","",SUMIF($N$8:$N$507,"&gt;="&amp;N92)/SUMIF($N$8:$N$507,"&gt;0"))</f>
        <v/>
      </c>
      <c r="Q92" s="28">
        <f>IF(O92="","",IF(SUMIF($N$8:$N$507,"&gt;"&amp;N92)/SUMIF($N$8:$N$507,"&gt;0")&lt;$B$6,"A",IF(SUMIF($N$8:$N$507,"&gt;"&amp;N92)/SUMIF($N$8:$N$507,"&gt;0")&lt;$D$6,"B","C")))</f>
        <v/>
      </c>
      <c r="R92" s="29">
        <f>IF(O92="","",IF(COUNT(B92:M92)&lt;3,"",STDEVP(B92:M92)/AVERAGE(B92:M92)))</f>
        <v/>
      </c>
      <c r="S92" s="28">
        <f>IF(R92="","",IF(R92&lt;=$G$6,"X",IF(R92&lt;=$I$6,"Y","Z")))</f>
        <v/>
      </c>
    </row>
    <row r="93">
      <c r="A93" s="24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6">
        <f>IF(COUNT(B93:M93)=0,"",SUM(B93:M93))</f>
        <v/>
      </c>
      <c r="O93" s="27">
        <f>IF(N93="","",IF(N93&lt;=0,"",N93/SUMIF($N$8:$N$507,"&gt;0")))</f>
        <v/>
      </c>
      <c r="P93" s="27">
        <f>IF(O93="","",SUMIF($N$8:$N$507,"&gt;="&amp;N93)/SUMIF($N$8:$N$507,"&gt;0"))</f>
        <v/>
      </c>
      <c r="Q93" s="28">
        <f>IF(O93="","",IF(SUMIF($N$8:$N$507,"&gt;"&amp;N93)/SUMIF($N$8:$N$507,"&gt;0")&lt;$B$6,"A",IF(SUMIF($N$8:$N$507,"&gt;"&amp;N93)/SUMIF($N$8:$N$507,"&gt;0")&lt;$D$6,"B","C")))</f>
        <v/>
      </c>
      <c r="R93" s="29">
        <f>IF(O93="","",IF(COUNT(B93:M93)&lt;3,"",STDEVP(B93:M93)/AVERAGE(B93:M93)))</f>
        <v/>
      </c>
      <c r="S93" s="28">
        <f>IF(R93="","",IF(R93&lt;=$G$6,"X",IF(R93&lt;=$I$6,"Y","Z")))</f>
        <v/>
      </c>
    </row>
    <row r="94">
      <c r="A94" s="24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6">
        <f>IF(COUNT(B94:M94)=0,"",SUM(B94:M94))</f>
        <v/>
      </c>
      <c r="O94" s="27">
        <f>IF(N94="","",IF(N94&lt;=0,"",N94/SUMIF($N$8:$N$507,"&gt;0")))</f>
        <v/>
      </c>
      <c r="P94" s="27">
        <f>IF(O94="","",SUMIF($N$8:$N$507,"&gt;="&amp;N94)/SUMIF($N$8:$N$507,"&gt;0"))</f>
        <v/>
      </c>
      <c r="Q94" s="28">
        <f>IF(O94="","",IF(SUMIF($N$8:$N$507,"&gt;"&amp;N94)/SUMIF($N$8:$N$507,"&gt;0")&lt;$B$6,"A",IF(SUMIF($N$8:$N$507,"&gt;"&amp;N94)/SUMIF($N$8:$N$507,"&gt;0")&lt;$D$6,"B","C")))</f>
        <v/>
      </c>
      <c r="R94" s="29">
        <f>IF(O94="","",IF(COUNT(B94:M94)&lt;3,"",STDEVP(B94:M94)/AVERAGE(B94:M94)))</f>
        <v/>
      </c>
      <c r="S94" s="28">
        <f>IF(R94="","",IF(R94&lt;=$G$6,"X",IF(R94&lt;=$I$6,"Y","Z")))</f>
        <v/>
      </c>
    </row>
    <row r="95">
      <c r="A95" s="24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6">
        <f>IF(COUNT(B95:M95)=0,"",SUM(B95:M95))</f>
        <v/>
      </c>
      <c r="O95" s="27">
        <f>IF(N95="","",IF(N95&lt;=0,"",N95/SUMIF($N$8:$N$507,"&gt;0")))</f>
        <v/>
      </c>
      <c r="P95" s="27">
        <f>IF(O95="","",SUMIF($N$8:$N$507,"&gt;="&amp;N95)/SUMIF($N$8:$N$507,"&gt;0"))</f>
        <v/>
      </c>
      <c r="Q95" s="28">
        <f>IF(O95="","",IF(SUMIF($N$8:$N$507,"&gt;"&amp;N95)/SUMIF($N$8:$N$507,"&gt;0")&lt;$B$6,"A",IF(SUMIF($N$8:$N$507,"&gt;"&amp;N95)/SUMIF($N$8:$N$507,"&gt;0")&lt;$D$6,"B","C")))</f>
        <v/>
      </c>
      <c r="R95" s="29">
        <f>IF(O95="","",IF(COUNT(B95:M95)&lt;3,"",STDEVP(B95:M95)/AVERAGE(B95:M95)))</f>
        <v/>
      </c>
      <c r="S95" s="28">
        <f>IF(R95="","",IF(R95&lt;=$G$6,"X",IF(R95&lt;=$I$6,"Y","Z")))</f>
        <v/>
      </c>
    </row>
    <row r="96">
      <c r="A96" s="2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6">
        <f>IF(COUNT(B96:M96)=0,"",SUM(B96:M96))</f>
        <v/>
      </c>
      <c r="O96" s="27">
        <f>IF(N96="","",IF(N96&lt;=0,"",N96/SUMIF($N$8:$N$507,"&gt;0")))</f>
        <v/>
      </c>
      <c r="P96" s="27">
        <f>IF(O96="","",SUMIF($N$8:$N$507,"&gt;="&amp;N96)/SUMIF($N$8:$N$507,"&gt;0"))</f>
        <v/>
      </c>
      <c r="Q96" s="28">
        <f>IF(O96="","",IF(SUMIF($N$8:$N$507,"&gt;"&amp;N96)/SUMIF($N$8:$N$507,"&gt;0")&lt;$B$6,"A",IF(SUMIF($N$8:$N$507,"&gt;"&amp;N96)/SUMIF($N$8:$N$507,"&gt;0")&lt;$D$6,"B","C")))</f>
        <v/>
      </c>
      <c r="R96" s="29">
        <f>IF(O96="","",IF(COUNT(B96:M96)&lt;3,"",STDEVP(B96:M96)/AVERAGE(B96:M96)))</f>
        <v/>
      </c>
      <c r="S96" s="28">
        <f>IF(R96="","",IF(R96&lt;=$G$6,"X",IF(R96&lt;=$I$6,"Y","Z")))</f>
        <v/>
      </c>
    </row>
    <row r="97">
      <c r="A97" s="24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6">
        <f>IF(COUNT(B97:M97)=0,"",SUM(B97:M97))</f>
        <v/>
      </c>
      <c r="O97" s="27">
        <f>IF(N97="","",IF(N97&lt;=0,"",N97/SUMIF($N$8:$N$507,"&gt;0")))</f>
        <v/>
      </c>
      <c r="P97" s="27">
        <f>IF(O97="","",SUMIF($N$8:$N$507,"&gt;="&amp;N97)/SUMIF($N$8:$N$507,"&gt;0"))</f>
        <v/>
      </c>
      <c r="Q97" s="28">
        <f>IF(O97="","",IF(SUMIF($N$8:$N$507,"&gt;"&amp;N97)/SUMIF($N$8:$N$507,"&gt;0")&lt;$B$6,"A",IF(SUMIF($N$8:$N$507,"&gt;"&amp;N97)/SUMIF($N$8:$N$507,"&gt;0")&lt;$D$6,"B","C")))</f>
        <v/>
      </c>
      <c r="R97" s="29">
        <f>IF(O97="","",IF(COUNT(B97:M97)&lt;3,"",STDEVP(B97:M97)/AVERAGE(B97:M97)))</f>
        <v/>
      </c>
      <c r="S97" s="28">
        <f>IF(R97="","",IF(R97&lt;=$G$6,"X",IF(R97&lt;=$I$6,"Y","Z")))</f>
        <v/>
      </c>
    </row>
    <row r="98">
      <c r="A98" s="24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6">
        <f>IF(COUNT(B98:M98)=0,"",SUM(B98:M98))</f>
        <v/>
      </c>
      <c r="O98" s="27">
        <f>IF(N98="","",IF(N98&lt;=0,"",N98/SUMIF($N$8:$N$507,"&gt;0")))</f>
        <v/>
      </c>
      <c r="P98" s="27">
        <f>IF(O98="","",SUMIF($N$8:$N$507,"&gt;="&amp;N98)/SUMIF($N$8:$N$507,"&gt;0"))</f>
        <v/>
      </c>
      <c r="Q98" s="28">
        <f>IF(O98="","",IF(SUMIF($N$8:$N$507,"&gt;"&amp;N98)/SUMIF($N$8:$N$507,"&gt;0")&lt;$B$6,"A",IF(SUMIF($N$8:$N$507,"&gt;"&amp;N98)/SUMIF($N$8:$N$507,"&gt;0")&lt;$D$6,"B","C")))</f>
        <v/>
      </c>
      <c r="R98" s="29">
        <f>IF(O98="","",IF(COUNT(B98:M98)&lt;3,"",STDEVP(B98:M98)/AVERAGE(B98:M98)))</f>
        <v/>
      </c>
      <c r="S98" s="28">
        <f>IF(R98="","",IF(R98&lt;=$G$6,"X",IF(R98&lt;=$I$6,"Y","Z")))</f>
        <v/>
      </c>
    </row>
    <row r="99">
      <c r="A99" s="24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6">
        <f>IF(COUNT(B99:M99)=0,"",SUM(B99:M99))</f>
        <v/>
      </c>
      <c r="O99" s="27">
        <f>IF(N99="","",IF(N99&lt;=0,"",N99/SUMIF($N$8:$N$507,"&gt;0")))</f>
        <v/>
      </c>
      <c r="P99" s="27">
        <f>IF(O99="","",SUMIF($N$8:$N$507,"&gt;="&amp;N99)/SUMIF($N$8:$N$507,"&gt;0"))</f>
        <v/>
      </c>
      <c r="Q99" s="28">
        <f>IF(O99="","",IF(SUMIF($N$8:$N$507,"&gt;"&amp;N99)/SUMIF($N$8:$N$507,"&gt;0")&lt;$B$6,"A",IF(SUMIF($N$8:$N$507,"&gt;"&amp;N99)/SUMIF($N$8:$N$507,"&gt;0")&lt;$D$6,"B","C")))</f>
        <v/>
      </c>
      <c r="R99" s="29">
        <f>IF(O99="","",IF(COUNT(B99:M99)&lt;3,"",STDEVP(B99:M99)/AVERAGE(B99:M99)))</f>
        <v/>
      </c>
      <c r="S99" s="28">
        <f>IF(R99="","",IF(R99&lt;=$G$6,"X",IF(R99&lt;=$I$6,"Y","Z")))</f>
        <v/>
      </c>
    </row>
    <row r="100">
      <c r="A100" s="24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6">
        <f>IF(COUNT(B100:M100)=0,"",SUM(B100:M100))</f>
        <v/>
      </c>
      <c r="O100" s="27">
        <f>IF(N100="","",IF(N100&lt;=0,"",N100/SUMIF($N$8:$N$507,"&gt;0")))</f>
        <v/>
      </c>
      <c r="P100" s="27">
        <f>IF(O100="","",SUMIF($N$8:$N$507,"&gt;="&amp;N100)/SUMIF($N$8:$N$507,"&gt;0"))</f>
        <v/>
      </c>
      <c r="Q100" s="28">
        <f>IF(O100="","",IF(SUMIF($N$8:$N$507,"&gt;"&amp;N100)/SUMIF($N$8:$N$507,"&gt;0")&lt;$B$6,"A",IF(SUMIF($N$8:$N$507,"&gt;"&amp;N100)/SUMIF($N$8:$N$507,"&gt;0")&lt;$D$6,"B","C")))</f>
        <v/>
      </c>
      <c r="R100" s="29">
        <f>IF(O100="","",IF(COUNT(B100:M100)&lt;3,"",STDEVP(B100:M100)/AVERAGE(B100:M100)))</f>
        <v/>
      </c>
      <c r="S100" s="28">
        <f>IF(R100="","",IF(R100&lt;=$G$6,"X",IF(R100&lt;=$I$6,"Y","Z")))</f>
        <v/>
      </c>
    </row>
    <row r="101">
      <c r="A101" s="24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6">
        <f>IF(COUNT(B101:M101)=0,"",SUM(B101:M101))</f>
        <v/>
      </c>
      <c r="O101" s="27">
        <f>IF(N101="","",IF(N101&lt;=0,"",N101/SUMIF($N$8:$N$507,"&gt;0")))</f>
        <v/>
      </c>
      <c r="P101" s="27">
        <f>IF(O101="","",SUMIF($N$8:$N$507,"&gt;="&amp;N101)/SUMIF($N$8:$N$507,"&gt;0"))</f>
        <v/>
      </c>
      <c r="Q101" s="28">
        <f>IF(O101="","",IF(SUMIF($N$8:$N$507,"&gt;"&amp;N101)/SUMIF($N$8:$N$507,"&gt;0")&lt;$B$6,"A",IF(SUMIF($N$8:$N$507,"&gt;"&amp;N101)/SUMIF($N$8:$N$507,"&gt;0")&lt;$D$6,"B","C")))</f>
        <v/>
      </c>
      <c r="R101" s="29">
        <f>IF(O101="","",IF(COUNT(B101:M101)&lt;3,"",STDEVP(B101:M101)/AVERAGE(B101:M101)))</f>
        <v/>
      </c>
      <c r="S101" s="28">
        <f>IF(R101="","",IF(R101&lt;=$G$6,"X",IF(R101&lt;=$I$6,"Y","Z")))</f>
        <v/>
      </c>
    </row>
    <row r="102">
      <c r="A102" s="24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6">
        <f>IF(COUNT(B102:M102)=0,"",SUM(B102:M102))</f>
        <v/>
      </c>
      <c r="O102" s="27">
        <f>IF(N102="","",IF(N102&lt;=0,"",N102/SUMIF($N$8:$N$507,"&gt;0")))</f>
        <v/>
      </c>
      <c r="P102" s="27">
        <f>IF(O102="","",SUMIF($N$8:$N$507,"&gt;="&amp;N102)/SUMIF($N$8:$N$507,"&gt;0"))</f>
        <v/>
      </c>
      <c r="Q102" s="28">
        <f>IF(O102="","",IF(SUMIF($N$8:$N$507,"&gt;"&amp;N102)/SUMIF($N$8:$N$507,"&gt;0")&lt;$B$6,"A",IF(SUMIF($N$8:$N$507,"&gt;"&amp;N102)/SUMIF($N$8:$N$507,"&gt;0")&lt;$D$6,"B","C")))</f>
        <v/>
      </c>
      <c r="R102" s="29">
        <f>IF(O102="","",IF(COUNT(B102:M102)&lt;3,"",STDEVP(B102:M102)/AVERAGE(B102:M102)))</f>
        <v/>
      </c>
      <c r="S102" s="28">
        <f>IF(R102="","",IF(R102&lt;=$G$6,"X",IF(R102&lt;=$I$6,"Y","Z")))</f>
        <v/>
      </c>
    </row>
    <row r="103">
      <c r="A103" s="24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6">
        <f>IF(COUNT(B103:M103)=0,"",SUM(B103:M103))</f>
        <v/>
      </c>
      <c r="O103" s="27">
        <f>IF(N103="","",IF(N103&lt;=0,"",N103/SUMIF($N$8:$N$507,"&gt;0")))</f>
        <v/>
      </c>
      <c r="P103" s="27">
        <f>IF(O103="","",SUMIF($N$8:$N$507,"&gt;="&amp;N103)/SUMIF($N$8:$N$507,"&gt;0"))</f>
        <v/>
      </c>
      <c r="Q103" s="28">
        <f>IF(O103="","",IF(SUMIF($N$8:$N$507,"&gt;"&amp;N103)/SUMIF($N$8:$N$507,"&gt;0")&lt;$B$6,"A",IF(SUMIF($N$8:$N$507,"&gt;"&amp;N103)/SUMIF($N$8:$N$507,"&gt;0")&lt;$D$6,"B","C")))</f>
        <v/>
      </c>
      <c r="R103" s="29">
        <f>IF(O103="","",IF(COUNT(B103:M103)&lt;3,"",STDEVP(B103:M103)/AVERAGE(B103:M103)))</f>
        <v/>
      </c>
      <c r="S103" s="28">
        <f>IF(R103="","",IF(R103&lt;=$G$6,"X",IF(R103&lt;=$I$6,"Y","Z")))</f>
        <v/>
      </c>
    </row>
    <row r="104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6">
        <f>IF(COUNT(B104:M104)=0,"",SUM(B104:M104))</f>
        <v/>
      </c>
      <c r="O104" s="27">
        <f>IF(N104="","",IF(N104&lt;=0,"",N104/SUMIF($N$8:$N$507,"&gt;0")))</f>
        <v/>
      </c>
      <c r="P104" s="27">
        <f>IF(O104="","",SUMIF($N$8:$N$507,"&gt;="&amp;N104)/SUMIF($N$8:$N$507,"&gt;0"))</f>
        <v/>
      </c>
      <c r="Q104" s="28">
        <f>IF(O104="","",IF(SUMIF($N$8:$N$507,"&gt;"&amp;N104)/SUMIF($N$8:$N$507,"&gt;0")&lt;$B$6,"A",IF(SUMIF($N$8:$N$507,"&gt;"&amp;N104)/SUMIF($N$8:$N$507,"&gt;0")&lt;$D$6,"B","C")))</f>
        <v/>
      </c>
      <c r="R104" s="29">
        <f>IF(O104="","",IF(COUNT(B104:M104)&lt;3,"",STDEVP(B104:M104)/AVERAGE(B104:M104)))</f>
        <v/>
      </c>
      <c r="S104" s="28">
        <f>IF(R104="","",IF(R104&lt;=$G$6,"X",IF(R104&lt;=$I$6,"Y","Z")))</f>
        <v/>
      </c>
    </row>
    <row r="105">
      <c r="A105" s="24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6">
        <f>IF(COUNT(B105:M105)=0,"",SUM(B105:M105))</f>
        <v/>
      </c>
      <c r="O105" s="27">
        <f>IF(N105="","",IF(N105&lt;=0,"",N105/SUMIF($N$8:$N$507,"&gt;0")))</f>
        <v/>
      </c>
      <c r="P105" s="27">
        <f>IF(O105="","",SUMIF($N$8:$N$507,"&gt;="&amp;N105)/SUMIF($N$8:$N$507,"&gt;0"))</f>
        <v/>
      </c>
      <c r="Q105" s="28">
        <f>IF(O105="","",IF(SUMIF($N$8:$N$507,"&gt;"&amp;N105)/SUMIF($N$8:$N$507,"&gt;0")&lt;$B$6,"A",IF(SUMIF($N$8:$N$507,"&gt;"&amp;N105)/SUMIF($N$8:$N$507,"&gt;0")&lt;$D$6,"B","C")))</f>
        <v/>
      </c>
      <c r="R105" s="29">
        <f>IF(O105="","",IF(COUNT(B105:M105)&lt;3,"",STDEVP(B105:M105)/AVERAGE(B105:M105)))</f>
        <v/>
      </c>
      <c r="S105" s="28">
        <f>IF(R105="","",IF(R105&lt;=$G$6,"X",IF(R105&lt;=$I$6,"Y","Z")))</f>
        <v/>
      </c>
    </row>
    <row r="106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6">
        <f>IF(COUNT(B106:M106)=0,"",SUM(B106:M106))</f>
        <v/>
      </c>
      <c r="O106" s="27">
        <f>IF(N106="","",IF(N106&lt;=0,"",N106/SUMIF($N$8:$N$507,"&gt;0")))</f>
        <v/>
      </c>
      <c r="P106" s="27">
        <f>IF(O106="","",SUMIF($N$8:$N$507,"&gt;="&amp;N106)/SUMIF($N$8:$N$507,"&gt;0"))</f>
        <v/>
      </c>
      <c r="Q106" s="28">
        <f>IF(O106="","",IF(SUMIF($N$8:$N$507,"&gt;"&amp;N106)/SUMIF($N$8:$N$507,"&gt;0")&lt;$B$6,"A",IF(SUMIF($N$8:$N$507,"&gt;"&amp;N106)/SUMIF($N$8:$N$507,"&gt;0")&lt;$D$6,"B","C")))</f>
        <v/>
      </c>
      <c r="R106" s="29">
        <f>IF(O106="","",IF(COUNT(B106:M106)&lt;3,"",STDEVP(B106:M106)/AVERAGE(B106:M106)))</f>
        <v/>
      </c>
      <c r="S106" s="28">
        <f>IF(R106="","",IF(R106&lt;=$G$6,"X",IF(R106&lt;=$I$6,"Y","Z")))</f>
        <v/>
      </c>
    </row>
    <row r="107">
      <c r="A107" s="24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6">
        <f>IF(COUNT(B107:M107)=0,"",SUM(B107:M107))</f>
        <v/>
      </c>
      <c r="O107" s="27">
        <f>IF(N107="","",IF(N107&lt;=0,"",N107/SUMIF($N$8:$N$507,"&gt;0")))</f>
        <v/>
      </c>
      <c r="P107" s="27">
        <f>IF(O107="","",SUMIF($N$8:$N$507,"&gt;="&amp;N107)/SUMIF($N$8:$N$507,"&gt;0"))</f>
        <v/>
      </c>
      <c r="Q107" s="28">
        <f>IF(O107="","",IF(SUMIF($N$8:$N$507,"&gt;"&amp;N107)/SUMIF($N$8:$N$507,"&gt;0")&lt;$B$6,"A",IF(SUMIF($N$8:$N$507,"&gt;"&amp;N107)/SUMIF($N$8:$N$507,"&gt;0")&lt;$D$6,"B","C")))</f>
        <v/>
      </c>
      <c r="R107" s="29">
        <f>IF(O107="","",IF(COUNT(B107:M107)&lt;3,"",STDEVP(B107:M107)/AVERAGE(B107:M107)))</f>
        <v/>
      </c>
      <c r="S107" s="28">
        <f>IF(R107="","",IF(R107&lt;=$G$6,"X",IF(R107&lt;=$I$6,"Y","Z")))</f>
        <v/>
      </c>
    </row>
    <row r="108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6">
        <f>IF(COUNT(B108:M108)=0,"",SUM(B108:M108))</f>
        <v/>
      </c>
      <c r="O108" s="27">
        <f>IF(N108="","",IF(N108&lt;=0,"",N108/SUMIF($N$8:$N$507,"&gt;0")))</f>
        <v/>
      </c>
      <c r="P108" s="27">
        <f>IF(O108="","",SUMIF($N$8:$N$507,"&gt;="&amp;N108)/SUMIF($N$8:$N$507,"&gt;0"))</f>
        <v/>
      </c>
      <c r="Q108" s="28">
        <f>IF(O108="","",IF(SUMIF($N$8:$N$507,"&gt;"&amp;N108)/SUMIF($N$8:$N$507,"&gt;0")&lt;$B$6,"A",IF(SUMIF($N$8:$N$507,"&gt;"&amp;N108)/SUMIF($N$8:$N$507,"&gt;0")&lt;$D$6,"B","C")))</f>
        <v/>
      </c>
      <c r="R108" s="29">
        <f>IF(O108="","",IF(COUNT(B108:M108)&lt;3,"",STDEVP(B108:M108)/AVERAGE(B108:M108)))</f>
        <v/>
      </c>
      <c r="S108" s="28">
        <f>IF(R108="","",IF(R108&lt;=$G$6,"X",IF(R108&lt;=$I$6,"Y","Z")))</f>
        <v/>
      </c>
    </row>
    <row r="109">
      <c r="A109" s="24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6">
        <f>IF(COUNT(B109:M109)=0,"",SUM(B109:M109))</f>
        <v/>
      </c>
      <c r="O109" s="27">
        <f>IF(N109="","",IF(N109&lt;=0,"",N109/SUMIF($N$8:$N$507,"&gt;0")))</f>
        <v/>
      </c>
      <c r="P109" s="27">
        <f>IF(O109="","",SUMIF($N$8:$N$507,"&gt;="&amp;N109)/SUMIF($N$8:$N$507,"&gt;0"))</f>
        <v/>
      </c>
      <c r="Q109" s="28">
        <f>IF(O109="","",IF(SUMIF($N$8:$N$507,"&gt;"&amp;N109)/SUMIF($N$8:$N$507,"&gt;0")&lt;$B$6,"A",IF(SUMIF($N$8:$N$507,"&gt;"&amp;N109)/SUMIF($N$8:$N$507,"&gt;0")&lt;$D$6,"B","C")))</f>
        <v/>
      </c>
      <c r="R109" s="29">
        <f>IF(O109="","",IF(COUNT(B109:M109)&lt;3,"",STDEVP(B109:M109)/AVERAGE(B109:M109)))</f>
        <v/>
      </c>
      <c r="S109" s="28">
        <f>IF(R109="","",IF(R109&lt;=$G$6,"X",IF(R109&lt;=$I$6,"Y","Z")))</f>
        <v/>
      </c>
    </row>
    <row r="110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6">
        <f>IF(COUNT(B110:M110)=0,"",SUM(B110:M110))</f>
        <v/>
      </c>
      <c r="O110" s="27">
        <f>IF(N110="","",IF(N110&lt;=0,"",N110/SUMIF($N$8:$N$507,"&gt;0")))</f>
        <v/>
      </c>
      <c r="P110" s="27">
        <f>IF(O110="","",SUMIF($N$8:$N$507,"&gt;="&amp;N110)/SUMIF($N$8:$N$507,"&gt;0"))</f>
        <v/>
      </c>
      <c r="Q110" s="28">
        <f>IF(O110="","",IF(SUMIF($N$8:$N$507,"&gt;"&amp;N110)/SUMIF($N$8:$N$507,"&gt;0")&lt;$B$6,"A",IF(SUMIF($N$8:$N$507,"&gt;"&amp;N110)/SUMIF($N$8:$N$507,"&gt;0")&lt;$D$6,"B","C")))</f>
        <v/>
      </c>
      <c r="R110" s="29">
        <f>IF(O110="","",IF(COUNT(B110:M110)&lt;3,"",STDEVP(B110:M110)/AVERAGE(B110:M110)))</f>
        <v/>
      </c>
      <c r="S110" s="28">
        <f>IF(R110="","",IF(R110&lt;=$G$6,"X",IF(R110&lt;=$I$6,"Y","Z")))</f>
        <v/>
      </c>
    </row>
    <row r="111">
      <c r="A111" s="24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6">
        <f>IF(COUNT(B111:M111)=0,"",SUM(B111:M111))</f>
        <v/>
      </c>
      <c r="O111" s="27">
        <f>IF(N111="","",IF(N111&lt;=0,"",N111/SUMIF($N$8:$N$507,"&gt;0")))</f>
        <v/>
      </c>
      <c r="P111" s="27">
        <f>IF(O111="","",SUMIF($N$8:$N$507,"&gt;="&amp;N111)/SUMIF($N$8:$N$507,"&gt;0"))</f>
        <v/>
      </c>
      <c r="Q111" s="28">
        <f>IF(O111="","",IF(SUMIF($N$8:$N$507,"&gt;"&amp;N111)/SUMIF($N$8:$N$507,"&gt;0")&lt;$B$6,"A",IF(SUMIF($N$8:$N$507,"&gt;"&amp;N111)/SUMIF($N$8:$N$507,"&gt;0")&lt;$D$6,"B","C")))</f>
        <v/>
      </c>
      <c r="R111" s="29">
        <f>IF(O111="","",IF(COUNT(B111:M111)&lt;3,"",STDEVP(B111:M111)/AVERAGE(B111:M111)))</f>
        <v/>
      </c>
      <c r="S111" s="28">
        <f>IF(R111="","",IF(R111&lt;=$G$6,"X",IF(R111&lt;=$I$6,"Y","Z")))</f>
        <v/>
      </c>
    </row>
    <row r="11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6">
        <f>IF(COUNT(B112:M112)=0,"",SUM(B112:M112))</f>
        <v/>
      </c>
      <c r="O112" s="27">
        <f>IF(N112="","",IF(N112&lt;=0,"",N112/SUMIF($N$8:$N$507,"&gt;0")))</f>
        <v/>
      </c>
      <c r="P112" s="27">
        <f>IF(O112="","",SUMIF($N$8:$N$507,"&gt;="&amp;N112)/SUMIF($N$8:$N$507,"&gt;0"))</f>
        <v/>
      </c>
      <c r="Q112" s="28">
        <f>IF(O112="","",IF(SUMIF($N$8:$N$507,"&gt;"&amp;N112)/SUMIF($N$8:$N$507,"&gt;0")&lt;$B$6,"A",IF(SUMIF($N$8:$N$507,"&gt;"&amp;N112)/SUMIF($N$8:$N$507,"&gt;0")&lt;$D$6,"B","C")))</f>
        <v/>
      </c>
      <c r="R112" s="29">
        <f>IF(O112="","",IF(COUNT(B112:M112)&lt;3,"",STDEVP(B112:M112)/AVERAGE(B112:M112)))</f>
        <v/>
      </c>
      <c r="S112" s="28">
        <f>IF(R112="","",IF(R112&lt;=$G$6,"X",IF(R112&lt;=$I$6,"Y","Z")))</f>
        <v/>
      </c>
    </row>
    <row r="113">
      <c r="A113" s="24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6">
        <f>IF(COUNT(B113:M113)=0,"",SUM(B113:M113))</f>
        <v/>
      </c>
      <c r="O113" s="27">
        <f>IF(N113="","",IF(N113&lt;=0,"",N113/SUMIF($N$8:$N$507,"&gt;0")))</f>
        <v/>
      </c>
      <c r="P113" s="27">
        <f>IF(O113="","",SUMIF($N$8:$N$507,"&gt;="&amp;N113)/SUMIF($N$8:$N$507,"&gt;0"))</f>
        <v/>
      </c>
      <c r="Q113" s="28">
        <f>IF(O113="","",IF(SUMIF($N$8:$N$507,"&gt;"&amp;N113)/SUMIF($N$8:$N$507,"&gt;0")&lt;$B$6,"A",IF(SUMIF($N$8:$N$507,"&gt;"&amp;N113)/SUMIF($N$8:$N$507,"&gt;0")&lt;$D$6,"B","C")))</f>
        <v/>
      </c>
      <c r="R113" s="29">
        <f>IF(O113="","",IF(COUNT(B113:M113)&lt;3,"",STDEVP(B113:M113)/AVERAGE(B113:M113)))</f>
        <v/>
      </c>
      <c r="S113" s="28">
        <f>IF(R113="","",IF(R113&lt;=$G$6,"X",IF(R113&lt;=$I$6,"Y","Z")))</f>
        <v/>
      </c>
    </row>
    <row r="114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6">
        <f>IF(COUNT(B114:M114)=0,"",SUM(B114:M114))</f>
        <v/>
      </c>
      <c r="O114" s="27">
        <f>IF(N114="","",IF(N114&lt;=0,"",N114/SUMIF($N$8:$N$507,"&gt;0")))</f>
        <v/>
      </c>
      <c r="P114" s="27">
        <f>IF(O114="","",SUMIF($N$8:$N$507,"&gt;="&amp;N114)/SUMIF($N$8:$N$507,"&gt;0"))</f>
        <v/>
      </c>
      <c r="Q114" s="28">
        <f>IF(O114="","",IF(SUMIF($N$8:$N$507,"&gt;"&amp;N114)/SUMIF($N$8:$N$507,"&gt;0")&lt;$B$6,"A",IF(SUMIF($N$8:$N$507,"&gt;"&amp;N114)/SUMIF($N$8:$N$507,"&gt;0")&lt;$D$6,"B","C")))</f>
        <v/>
      </c>
      <c r="R114" s="29">
        <f>IF(O114="","",IF(COUNT(B114:M114)&lt;3,"",STDEVP(B114:M114)/AVERAGE(B114:M114)))</f>
        <v/>
      </c>
      <c r="S114" s="28">
        <f>IF(R114="","",IF(R114&lt;=$G$6,"X",IF(R114&lt;=$I$6,"Y","Z")))</f>
        <v/>
      </c>
    </row>
    <row r="115">
      <c r="A115" s="24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6">
        <f>IF(COUNT(B115:M115)=0,"",SUM(B115:M115))</f>
        <v/>
      </c>
      <c r="O115" s="27">
        <f>IF(N115="","",IF(N115&lt;=0,"",N115/SUMIF($N$8:$N$507,"&gt;0")))</f>
        <v/>
      </c>
      <c r="P115" s="27">
        <f>IF(O115="","",SUMIF($N$8:$N$507,"&gt;="&amp;N115)/SUMIF($N$8:$N$507,"&gt;0"))</f>
        <v/>
      </c>
      <c r="Q115" s="28">
        <f>IF(O115="","",IF(SUMIF($N$8:$N$507,"&gt;"&amp;N115)/SUMIF($N$8:$N$507,"&gt;0")&lt;$B$6,"A",IF(SUMIF($N$8:$N$507,"&gt;"&amp;N115)/SUMIF($N$8:$N$507,"&gt;0")&lt;$D$6,"B","C")))</f>
        <v/>
      </c>
      <c r="R115" s="29">
        <f>IF(O115="","",IF(COUNT(B115:M115)&lt;3,"",STDEVP(B115:M115)/AVERAGE(B115:M115)))</f>
        <v/>
      </c>
      <c r="S115" s="28">
        <f>IF(R115="","",IF(R115&lt;=$G$6,"X",IF(R115&lt;=$I$6,"Y","Z")))</f>
        <v/>
      </c>
    </row>
    <row r="116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6">
        <f>IF(COUNT(B116:M116)=0,"",SUM(B116:M116))</f>
        <v/>
      </c>
      <c r="O116" s="27">
        <f>IF(N116="","",IF(N116&lt;=0,"",N116/SUMIF($N$8:$N$507,"&gt;0")))</f>
        <v/>
      </c>
      <c r="P116" s="27">
        <f>IF(O116="","",SUMIF($N$8:$N$507,"&gt;="&amp;N116)/SUMIF($N$8:$N$507,"&gt;0"))</f>
        <v/>
      </c>
      <c r="Q116" s="28">
        <f>IF(O116="","",IF(SUMIF($N$8:$N$507,"&gt;"&amp;N116)/SUMIF($N$8:$N$507,"&gt;0")&lt;$B$6,"A",IF(SUMIF($N$8:$N$507,"&gt;"&amp;N116)/SUMIF($N$8:$N$507,"&gt;0")&lt;$D$6,"B","C")))</f>
        <v/>
      </c>
      <c r="R116" s="29">
        <f>IF(O116="","",IF(COUNT(B116:M116)&lt;3,"",STDEVP(B116:M116)/AVERAGE(B116:M116)))</f>
        <v/>
      </c>
      <c r="S116" s="28">
        <f>IF(R116="","",IF(R116&lt;=$G$6,"X",IF(R116&lt;=$I$6,"Y","Z")))</f>
        <v/>
      </c>
    </row>
    <row r="117">
      <c r="A117" s="24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6">
        <f>IF(COUNT(B117:M117)=0,"",SUM(B117:M117))</f>
        <v/>
      </c>
      <c r="O117" s="27">
        <f>IF(N117="","",IF(N117&lt;=0,"",N117/SUMIF($N$8:$N$507,"&gt;0")))</f>
        <v/>
      </c>
      <c r="P117" s="27">
        <f>IF(O117="","",SUMIF($N$8:$N$507,"&gt;="&amp;N117)/SUMIF($N$8:$N$507,"&gt;0"))</f>
        <v/>
      </c>
      <c r="Q117" s="28">
        <f>IF(O117="","",IF(SUMIF($N$8:$N$507,"&gt;"&amp;N117)/SUMIF($N$8:$N$507,"&gt;0")&lt;$B$6,"A",IF(SUMIF($N$8:$N$507,"&gt;"&amp;N117)/SUMIF($N$8:$N$507,"&gt;0")&lt;$D$6,"B","C")))</f>
        <v/>
      </c>
      <c r="R117" s="29">
        <f>IF(O117="","",IF(COUNT(B117:M117)&lt;3,"",STDEVP(B117:M117)/AVERAGE(B117:M117)))</f>
        <v/>
      </c>
      <c r="S117" s="28">
        <f>IF(R117="","",IF(R117&lt;=$G$6,"X",IF(R117&lt;=$I$6,"Y","Z")))</f>
        <v/>
      </c>
    </row>
    <row r="118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6">
        <f>IF(COUNT(B118:M118)=0,"",SUM(B118:M118))</f>
        <v/>
      </c>
      <c r="O118" s="27">
        <f>IF(N118="","",IF(N118&lt;=0,"",N118/SUMIF($N$8:$N$507,"&gt;0")))</f>
        <v/>
      </c>
      <c r="P118" s="27">
        <f>IF(O118="","",SUMIF($N$8:$N$507,"&gt;="&amp;N118)/SUMIF($N$8:$N$507,"&gt;0"))</f>
        <v/>
      </c>
      <c r="Q118" s="28">
        <f>IF(O118="","",IF(SUMIF($N$8:$N$507,"&gt;"&amp;N118)/SUMIF($N$8:$N$507,"&gt;0")&lt;$B$6,"A",IF(SUMIF($N$8:$N$507,"&gt;"&amp;N118)/SUMIF($N$8:$N$507,"&gt;0")&lt;$D$6,"B","C")))</f>
        <v/>
      </c>
      <c r="R118" s="29">
        <f>IF(O118="","",IF(COUNT(B118:M118)&lt;3,"",STDEVP(B118:M118)/AVERAGE(B118:M118)))</f>
        <v/>
      </c>
      <c r="S118" s="28">
        <f>IF(R118="","",IF(R118&lt;=$G$6,"X",IF(R118&lt;=$I$6,"Y","Z")))</f>
        <v/>
      </c>
    </row>
    <row r="119">
      <c r="A119" s="24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6">
        <f>IF(COUNT(B119:M119)=0,"",SUM(B119:M119))</f>
        <v/>
      </c>
      <c r="O119" s="27">
        <f>IF(N119="","",IF(N119&lt;=0,"",N119/SUMIF($N$8:$N$507,"&gt;0")))</f>
        <v/>
      </c>
      <c r="P119" s="27">
        <f>IF(O119="","",SUMIF($N$8:$N$507,"&gt;="&amp;N119)/SUMIF($N$8:$N$507,"&gt;0"))</f>
        <v/>
      </c>
      <c r="Q119" s="28">
        <f>IF(O119="","",IF(SUMIF($N$8:$N$507,"&gt;"&amp;N119)/SUMIF($N$8:$N$507,"&gt;0")&lt;$B$6,"A",IF(SUMIF($N$8:$N$507,"&gt;"&amp;N119)/SUMIF($N$8:$N$507,"&gt;0")&lt;$D$6,"B","C")))</f>
        <v/>
      </c>
      <c r="R119" s="29">
        <f>IF(O119="","",IF(COUNT(B119:M119)&lt;3,"",STDEVP(B119:M119)/AVERAGE(B119:M119)))</f>
        <v/>
      </c>
      <c r="S119" s="28">
        <f>IF(R119="","",IF(R119&lt;=$G$6,"X",IF(R119&lt;=$I$6,"Y","Z")))</f>
        <v/>
      </c>
    </row>
    <row r="120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6">
        <f>IF(COUNT(B120:M120)=0,"",SUM(B120:M120))</f>
        <v/>
      </c>
      <c r="O120" s="27">
        <f>IF(N120="","",IF(N120&lt;=0,"",N120/SUMIF($N$8:$N$507,"&gt;0")))</f>
        <v/>
      </c>
      <c r="P120" s="27">
        <f>IF(O120="","",SUMIF($N$8:$N$507,"&gt;="&amp;N120)/SUMIF($N$8:$N$507,"&gt;0"))</f>
        <v/>
      </c>
      <c r="Q120" s="28">
        <f>IF(O120="","",IF(SUMIF($N$8:$N$507,"&gt;"&amp;N120)/SUMIF($N$8:$N$507,"&gt;0")&lt;$B$6,"A",IF(SUMIF($N$8:$N$507,"&gt;"&amp;N120)/SUMIF($N$8:$N$507,"&gt;0")&lt;$D$6,"B","C")))</f>
        <v/>
      </c>
      <c r="R120" s="29">
        <f>IF(O120="","",IF(COUNT(B120:M120)&lt;3,"",STDEVP(B120:M120)/AVERAGE(B120:M120)))</f>
        <v/>
      </c>
      <c r="S120" s="28">
        <f>IF(R120="","",IF(R120&lt;=$G$6,"X",IF(R120&lt;=$I$6,"Y","Z")))</f>
        <v/>
      </c>
    </row>
    <row r="121">
      <c r="A121" s="24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6">
        <f>IF(COUNT(B121:M121)=0,"",SUM(B121:M121))</f>
        <v/>
      </c>
      <c r="O121" s="27">
        <f>IF(N121="","",IF(N121&lt;=0,"",N121/SUMIF($N$8:$N$507,"&gt;0")))</f>
        <v/>
      </c>
      <c r="P121" s="27">
        <f>IF(O121="","",SUMIF($N$8:$N$507,"&gt;="&amp;N121)/SUMIF($N$8:$N$507,"&gt;0"))</f>
        <v/>
      </c>
      <c r="Q121" s="28">
        <f>IF(O121="","",IF(SUMIF($N$8:$N$507,"&gt;"&amp;N121)/SUMIF($N$8:$N$507,"&gt;0")&lt;$B$6,"A",IF(SUMIF($N$8:$N$507,"&gt;"&amp;N121)/SUMIF($N$8:$N$507,"&gt;0")&lt;$D$6,"B","C")))</f>
        <v/>
      </c>
      <c r="R121" s="29">
        <f>IF(O121="","",IF(COUNT(B121:M121)&lt;3,"",STDEVP(B121:M121)/AVERAGE(B121:M121)))</f>
        <v/>
      </c>
      <c r="S121" s="28">
        <f>IF(R121="","",IF(R121&lt;=$G$6,"X",IF(R121&lt;=$I$6,"Y","Z")))</f>
        <v/>
      </c>
    </row>
    <row r="12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6">
        <f>IF(COUNT(B122:M122)=0,"",SUM(B122:M122))</f>
        <v/>
      </c>
      <c r="O122" s="27">
        <f>IF(N122="","",IF(N122&lt;=0,"",N122/SUMIF($N$8:$N$507,"&gt;0")))</f>
        <v/>
      </c>
      <c r="P122" s="27">
        <f>IF(O122="","",SUMIF($N$8:$N$507,"&gt;="&amp;N122)/SUMIF($N$8:$N$507,"&gt;0"))</f>
        <v/>
      </c>
      <c r="Q122" s="28">
        <f>IF(O122="","",IF(SUMIF($N$8:$N$507,"&gt;"&amp;N122)/SUMIF($N$8:$N$507,"&gt;0")&lt;$B$6,"A",IF(SUMIF($N$8:$N$507,"&gt;"&amp;N122)/SUMIF($N$8:$N$507,"&gt;0")&lt;$D$6,"B","C")))</f>
        <v/>
      </c>
      <c r="R122" s="29">
        <f>IF(O122="","",IF(COUNT(B122:M122)&lt;3,"",STDEVP(B122:M122)/AVERAGE(B122:M122)))</f>
        <v/>
      </c>
      <c r="S122" s="28">
        <f>IF(R122="","",IF(R122&lt;=$G$6,"X",IF(R122&lt;=$I$6,"Y","Z")))</f>
        <v/>
      </c>
    </row>
    <row r="123">
      <c r="A123" s="24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6">
        <f>IF(COUNT(B123:M123)=0,"",SUM(B123:M123))</f>
        <v/>
      </c>
      <c r="O123" s="27">
        <f>IF(N123="","",IF(N123&lt;=0,"",N123/SUMIF($N$8:$N$507,"&gt;0")))</f>
        <v/>
      </c>
      <c r="P123" s="27">
        <f>IF(O123="","",SUMIF($N$8:$N$507,"&gt;="&amp;N123)/SUMIF($N$8:$N$507,"&gt;0"))</f>
        <v/>
      </c>
      <c r="Q123" s="28">
        <f>IF(O123="","",IF(SUMIF($N$8:$N$507,"&gt;"&amp;N123)/SUMIF($N$8:$N$507,"&gt;0")&lt;$B$6,"A",IF(SUMIF($N$8:$N$507,"&gt;"&amp;N123)/SUMIF($N$8:$N$507,"&gt;0")&lt;$D$6,"B","C")))</f>
        <v/>
      </c>
      <c r="R123" s="29">
        <f>IF(O123="","",IF(COUNT(B123:M123)&lt;3,"",STDEVP(B123:M123)/AVERAGE(B123:M123)))</f>
        <v/>
      </c>
      <c r="S123" s="28">
        <f>IF(R123="","",IF(R123&lt;=$G$6,"X",IF(R123&lt;=$I$6,"Y","Z")))</f>
        <v/>
      </c>
    </row>
    <row r="124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6">
        <f>IF(COUNT(B124:M124)=0,"",SUM(B124:M124))</f>
        <v/>
      </c>
      <c r="O124" s="27">
        <f>IF(N124="","",IF(N124&lt;=0,"",N124/SUMIF($N$8:$N$507,"&gt;0")))</f>
        <v/>
      </c>
      <c r="P124" s="27">
        <f>IF(O124="","",SUMIF($N$8:$N$507,"&gt;="&amp;N124)/SUMIF($N$8:$N$507,"&gt;0"))</f>
        <v/>
      </c>
      <c r="Q124" s="28">
        <f>IF(O124="","",IF(SUMIF($N$8:$N$507,"&gt;"&amp;N124)/SUMIF($N$8:$N$507,"&gt;0")&lt;$B$6,"A",IF(SUMIF($N$8:$N$507,"&gt;"&amp;N124)/SUMIF($N$8:$N$507,"&gt;0")&lt;$D$6,"B","C")))</f>
        <v/>
      </c>
      <c r="R124" s="29">
        <f>IF(O124="","",IF(COUNT(B124:M124)&lt;3,"",STDEVP(B124:M124)/AVERAGE(B124:M124)))</f>
        <v/>
      </c>
      <c r="S124" s="28">
        <f>IF(R124="","",IF(R124&lt;=$G$6,"X",IF(R124&lt;=$I$6,"Y","Z")))</f>
        <v/>
      </c>
    </row>
    <row r="125">
      <c r="A125" s="24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6">
        <f>IF(COUNT(B125:M125)=0,"",SUM(B125:M125))</f>
        <v/>
      </c>
      <c r="O125" s="27">
        <f>IF(N125="","",IF(N125&lt;=0,"",N125/SUMIF($N$8:$N$507,"&gt;0")))</f>
        <v/>
      </c>
      <c r="P125" s="27">
        <f>IF(O125="","",SUMIF($N$8:$N$507,"&gt;="&amp;N125)/SUMIF($N$8:$N$507,"&gt;0"))</f>
        <v/>
      </c>
      <c r="Q125" s="28">
        <f>IF(O125="","",IF(SUMIF($N$8:$N$507,"&gt;"&amp;N125)/SUMIF($N$8:$N$507,"&gt;0")&lt;$B$6,"A",IF(SUMIF($N$8:$N$507,"&gt;"&amp;N125)/SUMIF($N$8:$N$507,"&gt;0")&lt;$D$6,"B","C")))</f>
        <v/>
      </c>
      <c r="R125" s="29">
        <f>IF(O125="","",IF(COUNT(B125:M125)&lt;3,"",STDEVP(B125:M125)/AVERAGE(B125:M125)))</f>
        <v/>
      </c>
      <c r="S125" s="28">
        <f>IF(R125="","",IF(R125&lt;=$G$6,"X",IF(R125&lt;=$I$6,"Y","Z")))</f>
        <v/>
      </c>
    </row>
    <row r="126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6">
        <f>IF(COUNT(B126:M126)=0,"",SUM(B126:M126))</f>
        <v/>
      </c>
      <c r="O126" s="27">
        <f>IF(N126="","",IF(N126&lt;=0,"",N126/SUMIF($N$8:$N$507,"&gt;0")))</f>
        <v/>
      </c>
      <c r="P126" s="27">
        <f>IF(O126="","",SUMIF($N$8:$N$507,"&gt;="&amp;N126)/SUMIF($N$8:$N$507,"&gt;0"))</f>
        <v/>
      </c>
      <c r="Q126" s="28">
        <f>IF(O126="","",IF(SUMIF($N$8:$N$507,"&gt;"&amp;N126)/SUMIF($N$8:$N$507,"&gt;0")&lt;$B$6,"A",IF(SUMIF($N$8:$N$507,"&gt;"&amp;N126)/SUMIF($N$8:$N$507,"&gt;0")&lt;$D$6,"B","C")))</f>
        <v/>
      </c>
      <c r="R126" s="29">
        <f>IF(O126="","",IF(COUNT(B126:M126)&lt;3,"",STDEVP(B126:M126)/AVERAGE(B126:M126)))</f>
        <v/>
      </c>
      <c r="S126" s="28">
        <f>IF(R126="","",IF(R126&lt;=$G$6,"X",IF(R126&lt;=$I$6,"Y","Z")))</f>
        <v/>
      </c>
    </row>
    <row r="127">
      <c r="A127" s="24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6">
        <f>IF(COUNT(B127:M127)=0,"",SUM(B127:M127))</f>
        <v/>
      </c>
      <c r="O127" s="27">
        <f>IF(N127="","",IF(N127&lt;=0,"",N127/SUMIF($N$8:$N$507,"&gt;0")))</f>
        <v/>
      </c>
      <c r="P127" s="27">
        <f>IF(O127="","",SUMIF($N$8:$N$507,"&gt;="&amp;N127)/SUMIF($N$8:$N$507,"&gt;0"))</f>
        <v/>
      </c>
      <c r="Q127" s="28">
        <f>IF(O127="","",IF(SUMIF($N$8:$N$507,"&gt;"&amp;N127)/SUMIF($N$8:$N$507,"&gt;0")&lt;$B$6,"A",IF(SUMIF($N$8:$N$507,"&gt;"&amp;N127)/SUMIF($N$8:$N$507,"&gt;0")&lt;$D$6,"B","C")))</f>
        <v/>
      </c>
      <c r="R127" s="29">
        <f>IF(O127="","",IF(COUNT(B127:M127)&lt;3,"",STDEVP(B127:M127)/AVERAGE(B127:M127)))</f>
        <v/>
      </c>
      <c r="S127" s="28">
        <f>IF(R127="","",IF(R127&lt;=$G$6,"X",IF(R127&lt;=$I$6,"Y","Z")))</f>
        <v/>
      </c>
    </row>
    <row r="128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6">
        <f>IF(COUNT(B128:M128)=0,"",SUM(B128:M128))</f>
        <v/>
      </c>
      <c r="O128" s="27">
        <f>IF(N128="","",IF(N128&lt;=0,"",N128/SUMIF($N$8:$N$507,"&gt;0")))</f>
        <v/>
      </c>
      <c r="P128" s="27">
        <f>IF(O128="","",SUMIF($N$8:$N$507,"&gt;="&amp;N128)/SUMIF($N$8:$N$507,"&gt;0"))</f>
        <v/>
      </c>
      <c r="Q128" s="28">
        <f>IF(O128="","",IF(SUMIF($N$8:$N$507,"&gt;"&amp;N128)/SUMIF($N$8:$N$507,"&gt;0")&lt;$B$6,"A",IF(SUMIF($N$8:$N$507,"&gt;"&amp;N128)/SUMIF($N$8:$N$507,"&gt;0")&lt;$D$6,"B","C")))</f>
        <v/>
      </c>
      <c r="R128" s="29">
        <f>IF(O128="","",IF(COUNT(B128:M128)&lt;3,"",STDEVP(B128:M128)/AVERAGE(B128:M128)))</f>
        <v/>
      </c>
      <c r="S128" s="28">
        <f>IF(R128="","",IF(R128&lt;=$G$6,"X",IF(R128&lt;=$I$6,"Y","Z")))</f>
        <v/>
      </c>
    </row>
    <row r="129">
      <c r="A129" s="24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6">
        <f>IF(COUNT(B129:M129)=0,"",SUM(B129:M129))</f>
        <v/>
      </c>
      <c r="O129" s="27">
        <f>IF(N129="","",IF(N129&lt;=0,"",N129/SUMIF($N$8:$N$507,"&gt;0")))</f>
        <v/>
      </c>
      <c r="P129" s="27">
        <f>IF(O129="","",SUMIF($N$8:$N$507,"&gt;="&amp;N129)/SUMIF($N$8:$N$507,"&gt;0"))</f>
        <v/>
      </c>
      <c r="Q129" s="28">
        <f>IF(O129="","",IF(SUMIF($N$8:$N$507,"&gt;"&amp;N129)/SUMIF($N$8:$N$507,"&gt;0")&lt;$B$6,"A",IF(SUMIF($N$8:$N$507,"&gt;"&amp;N129)/SUMIF($N$8:$N$507,"&gt;0")&lt;$D$6,"B","C")))</f>
        <v/>
      </c>
      <c r="R129" s="29">
        <f>IF(O129="","",IF(COUNT(B129:M129)&lt;3,"",STDEVP(B129:M129)/AVERAGE(B129:M129)))</f>
        <v/>
      </c>
      <c r="S129" s="28">
        <f>IF(R129="","",IF(R129&lt;=$G$6,"X",IF(R129&lt;=$I$6,"Y","Z")))</f>
        <v/>
      </c>
    </row>
    <row r="130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6">
        <f>IF(COUNT(B130:M130)=0,"",SUM(B130:M130))</f>
        <v/>
      </c>
      <c r="O130" s="27">
        <f>IF(N130="","",IF(N130&lt;=0,"",N130/SUMIF($N$8:$N$507,"&gt;0")))</f>
        <v/>
      </c>
      <c r="P130" s="27">
        <f>IF(O130="","",SUMIF($N$8:$N$507,"&gt;="&amp;N130)/SUMIF($N$8:$N$507,"&gt;0"))</f>
        <v/>
      </c>
      <c r="Q130" s="28">
        <f>IF(O130="","",IF(SUMIF($N$8:$N$507,"&gt;"&amp;N130)/SUMIF($N$8:$N$507,"&gt;0")&lt;$B$6,"A",IF(SUMIF($N$8:$N$507,"&gt;"&amp;N130)/SUMIF($N$8:$N$507,"&gt;0")&lt;$D$6,"B","C")))</f>
        <v/>
      </c>
      <c r="R130" s="29">
        <f>IF(O130="","",IF(COUNT(B130:M130)&lt;3,"",STDEVP(B130:M130)/AVERAGE(B130:M130)))</f>
        <v/>
      </c>
      <c r="S130" s="28">
        <f>IF(R130="","",IF(R130&lt;=$G$6,"X",IF(R130&lt;=$I$6,"Y","Z")))</f>
        <v/>
      </c>
    </row>
    <row r="131">
      <c r="A131" s="24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6">
        <f>IF(COUNT(B131:M131)=0,"",SUM(B131:M131))</f>
        <v/>
      </c>
      <c r="O131" s="27">
        <f>IF(N131="","",IF(N131&lt;=0,"",N131/SUMIF($N$8:$N$507,"&gt;0")))</f>
        <v/>
      </c>
      <c r="P131" s="27">
        <f>IF(O131="","",SUMIF($N$8:$N$507,"&gt;="&amp;N131)/SUMIF($N$8:$N$507,"&gt;0"))</f>
        <v/>
      </c>
      <c r="Q131" s="28">
        <f>IF(O131="","",IF(SUMIF($N$8:$N$507,"&gt;"&amp;N131)/SUMIF($N$8:$N$507,"&gt;0")&lt;$B$6,"A",IF(SUMIF($N$8:$N$507,"&gt;"&amp;N131)/SUMIF($N$8:$N$507,"&gt;0")&lt;$D$6,"B","C")))</f>
        <v/>
      </c>
      <c r="R131" s="29">
        <f>IF(O131="","",IF(COUNT(B131:M131)&lt;3,"",STDEVP(B131:M131)/AVERAGE(B131:M131)))</f>
        <v/>
      </c>
      <c r="S131" s="28">
        <f>IF(R131="","",IF(R131&lt;=$G$6,"X",IF(R131&lt;=$I$6,"Y","Z")))</f>
        <v/>
      </c>
    </row>
    <row r="1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6">
        <f>IF(COUNT(B132:M132)=0,"",SUM(B132:M132))</f>
        <v/>
      </c>
      <c r="O132" s="27">
        <f>IF(N132="","",IF(N132&lt;=0,"",N132/SUMIF($N$8:$N$507,"&gt;0")))</f>
        <v/>
      </c>
      <c r="P132" s="27">
        <f>IF(O132="","",SUMIF($N$8:$N$507,"&gt;="&amp;N132)/SUMIF($N$8:$N$507,"&gt;0"))</f>
        <v/>
      </c>
      <c r="Q132" s="28">
        <f>IF(O132="","",IF(SUMIF($N$8:$N$507,"&gt;"&amp;N132)/SUMIF($N$8:$N$507,"&gt;0")&lt;$B$6,"A",IF(SUMIF($N$8:$N$507,"&gt;"&amp;N132)/SUMIF($N$8:$N$507,"&gt;0")&lt;$D$6,"B","C")))</f>
        <v/>
      </c>
      <c r="R132" s="29">
        <f>IF(O132="","",IF(COUNT(B132:M132)&lt;3,"",STDEVP(B132:M132)/AVERAGE(B132:M132)))</f>
        <v/>
      </c>
      <c r="S132" s="28">
        <f>IF(R132="","",IF(R132&lt;=$G$6,"X",IF(R132&lt;=$I$6,"Y","Z")))</f>
        <v/>
      </c>
    </row>
    <row r="133">
      <c r="A133" s="24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6">
        <f>IF(COUNT(B133:M133)=0,"",SUM(B133:M133))</f>
        <v/>
      </c>
      <c r="O133" s="27">
        <f>IF(N133="","",IF(N133&lt;=0,"",N133/SUMIF($N$8:$N$507,"&gt;0")))</f>
        <v/>
      </c>
      <c r="P133" s="27">
        <f>IF(O133="","",SUMIF($N$8:$N$507,"&gt;="&amp;N133)/SUMIF($N$8:$N$507,"&gt;0"))</f>
        <v/>
      </c>
      <c r="Q133" s="28">
        <f>IF(O133="","",IF(SUMIF($N$8:$N$507,"&gt;"&amp;N133)/SUMIF($N$8:$N$507,"&gt;0")&lt;$B$6,"A",IF(SUMIF($N$8:$N$507,"&gt;"&amp;N133)/SUMIF($N$8:$N$507,"&gt;0")&lt;$D$6,"B","C")))</f>
        <v/>
      </c>
      <c r="R133" s="29">
        <f>IF(O133="","",IF(COUNT(B133:M133)&lt;3,"",STDEVP(B133:M133)/AVERAGE(B133:M133)))</f>
        <v/>
      </c>
      <c r="S133" s="28">
        <f>IF(R133="","",IF(R133&lt;=$G$6,"X",IF(R133&lt;=$I$6,"Y","Z")))</f>
        <v/>
      </c>
    </row>
    <row r="134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6">
        <f>IF(COUNT(B134:M134)=0,"",SUM(B134:M134))</f>
        <v/>
      </c>
      <c r="O134" s="27">
        <f>IF(N134="","",IF(N134&lt;=0,"",N134/SUMIF($N$8:$N$507,"&gt;0")))</f>
        <v/>
      </c>
      <c r="P134" s="27">
        <f>IF(O134="","",SUMIF($N$8:$N$507,"&gt;="&amp;N134)/SUMIF($N$8:$N$507,"&gt;0"))</f>
        <v/>
      </c>
      <c r="Q134" s="28">
        <f>IF(O134="","",IF(SUMIF($N$8:$N$507,"&gt;"&amp;N134)/SUMIF($N$8:$N$507,"&gt;0")&lt;$B$6,"A",IF(SUMIF($N$8:$N$507,"&gt;"&amp;N134)/SUMIF($N$8:$N$507,"&gt;0")&lt;$D$6,"B","C")))</f>
        <v/>
      </c>
      <c r="R134" s="29">
        <f>IF(O134="","",IF(COUNT(B134:M134)&lt;3,"",STDEVP(B134:M134)/AVERAGE(B134:M134)))</f>
        <v/>
      </c>
      <c r="S134" s="28">
        <f>IF(R134="","",IF(R134&lt;=$G$6,"X",IF(R134&lt;=$I$6,"Y","Z")))</f>
        <v/>
      </c>
    </row>
    <row r="135">
      <c r="A135" s="24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6">
        <f>IF(COUNT(B135:M135)=0,"",SUM(B135:M135))</f>
        <v/>
      </c>
      <c r="O135" s="27">
        <f>IF(N135="","",IF(N135&lt;=0,"",N135/SUMIF($N$8:$N$507,"&gt;0")))</f>
        <v/>
      </c>
      <c r="P135" s="27">
        <f>IF(O135="","",SUMIF($N$8:$N$507,"&gt;="&amp;N135)/SUMIF($N$8:$N$507,"&gt;0"))</f>
        <v/>
      </c>
      <c r="Q135" s="28">
        <f>IF(O135="","",IF(SUMIF($N$8:$N$507,"&gt;"&amp;N135)/SUMIF($N$8:$N$507,"&gt;0")&lt;$B$6,"A",IF(SUMIF($N$8:$N$507,"&gt;"&amp;N135)/SUMIF($N$8:$N$507,"&gt;0")&lt;$D$6,"B","C")))</f>
        <v/>
      </c>
      <c r="R135" s="29">
        <f>IF(O135="","",IF(COUNT(B135:M135)&lt;3,"",STDEVP(B135:M135)/AVERAGE(B135:M135)))</f>
        <v/>
      </c>
      <c r="S135" s="28">
        <f>IF(R135="","",IF(R135&lt;=$G$6,"X",IF(R135&lt;=$I$6,"Y","Z")))</f>
        <v/>
      </c>
    </row>
    <row r="136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6">
        <f>IF(COUNT(B136:M136)=0,"",SUM(B136:M136))</f>
        <v/>
      </c>
      <c r="O136" s="27">
        <f>IF(N136="","",IF(N136&lt;=0,"",N136/SUMIF($N$8:$N$507,"&gt;0")))</f>
        <v/>
      </c>
      <c r="P136" s="27">
        <f>IF(O136="","",SUMIF($N$8:$N$507,"&gt;="&amp;N136)/SUMIF($N$8:$N$507,"&gt;0"))</f>
        <v/>
      </c>
      <c r="Q136" s="28">
        <f>IF(O136="","",IF(SUMIF($N$8:$N$507,"&gt;"&amp;N136)/SUMIF($N$8:$N$507,"&gt;0")&lt;$B$6,"A",IF(SUMIF($N$8:$N$507,"&gt;"&amp;N136)/SUMIF($N$8:$N$507,"&gt;0")&lt;$D$6,"B","C")))</f>
        <v/>
      </c>
      <c r="R136" s="29">
        <f>IF(O136="","",IF(COUNT(B136:M136)&lt;3,"",STDEVP(B136:M136)/AVERAGE(B136:M136)))</f>
        <v/>
      </c>
      <c r="S136" s="28">
        <f>IF(R136="","",IF(R136&lt;=$G$6,"X",IF(R136&lt;=$I$6,"Y","Z")))</f>
        <v/>
      </c>
    </row>
    <row r="137">
      <c r="A137" s="24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6">
        <f>IF(COUNT(B137:M137)=0,"",SUM(B137:M137))</f>
        <v/>
      </c>
      <c r="O137" s="27">
        <f>IF(N137="","",IF(N137&lt;=0,"",N137/SUMIF($N$8:$N$507,"&gt;0")))</f>
        <v/>
      </c>
      <c r="P137" s="27">
        <f>IF(O137="","",SUMIF($N$8:$N$507,"&gt;="&amp;N137)/SUMIF($N$8:$N$507,"&gt;0"))</f>
        <v/>
      </c>
      <c r="Q137" s="28">
        <f>IF(O137="","",IF(SUMIF($N$8:$N$507,"&gt;"&amp;N137)/SUMIF($N$8:$N$507,"&gt;0")&lt;$B$6,"A",IF(SUMIF($N$8:$N$507,"&gt;"&amp;N137)/SUMIF($N$8:$N$507,"&gt;0")&lt;$D$6,"B","C")))</f>
        <v/>
      </c>
      <c r="R137" s="29">
        <f>IF(O137="","",IF(COUNT(B137:M137)&lt;3,"",STDEVP(B137:M137)/AVERAGE(B137:M137)))</f>
        <v/>
      </c>
      <c r="S137" s="28">
        <f>IF(R137="","",IF(R137&lt;=$G$6,"X",IF(R137&lt;=$I$6,"Y","Z")))</f>
        <v/>
      </c>
    </row>
    <row r="138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6">
        <f>IF(COUNT(B138:M138)=0,"",SUM(B138:M138))</f>
        <v/>
      </c>
      <c r="O138" s="27">
        <f>IF(N138="","",IF(N138&lt;=0,"",N138/SUMIF($N$8:$N$507,"&gt;0")))</f>
        <v/>
      </c>
      <c r="P138" s="27">
        <f>IF(O138="","",SUMIF($N$8:$N$507,"&gt;="&amp;N138)/SUMIF($N$8:$N$507,"&gt;0"))</f>
        <v/>
      </c>
      <c r="Q138" s="28">
        <f>IF(O138="","",IF(SUMIF($N$8:$N$507,"&gt;"&amp;N138)/SUMIF($N$8:$N$507,"&gt;0")&lt;$B$6,"A",IF(SUMIF($N$8:$N$507,"&gt;"&amp;N138)/SUMIF($N$8:$N$507,"&gt;0")&lt;$D$6,"B","C")))</f>
        <v/>
      </c>
      <c r="R138" s="29">
        <f>IF(O138="","",IF(COUNT(B138:M138)&lt;3,"",STDEVP(B138:M138)/AVERAGE(B138:M138)))</f>
        <v/>
      </c>
      <c r="S138" s="28">
        <f>IF(R138="","",IF(R138&lt;=$G$6,"X",IF(R138&lt;=$I$6,"Y","Z")))</f>
        <v/>
      </c>
    </row>
    <row r="139">
      <c r="A139" s="24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6">
        <f>IF(COUNT(B139:M139)=0,"",SUM(B139:M139))</f>
        <v/>
      </c>
      <c r="O139" s="27">
        <f>IF(N139="","",IF(N139&lt;=0,"",N139/SUMIF($N$8:$N$507,"&gt;0")))</f>
        <v/>
      </c>
      <c r="P139" s="27">
        <f>IF(O139="","",SUMIF($N$8:$N$507,"&gt;="&amp;N139)/SUMIF($N$8:$N$507,"&gt;0"))</f>
        <v/>
      </c>
      <c r="Q139" s="28">
        <f>IF(O139="","",IF(SUMIF($N$8:$N$507,"&gt;"&amp;N139)/SUMIF($N$8:$N$507,"&gt;0")&lt;$B$6,"A",IF(SUMIF($N$8:$N$507,"&gt;"&amp;N139)/SUMIF($N$8:$N$507,"&gt;0")&lt;$D$6,"B","C")))</f>
        <v/>
      </c>
      <c r="R139" s="29">
        <f>IF(O139="","",IF(COUNT(B139:M139)&lt;3,"",STDEVP(B139:M139)/AVERAGE(B139:M139)))</f>
        <v/>
      </c>
      <c r="S139" s="28">
        <f>IF(R139="","",IF(R139&lt;=$G$6,"X",IF(R139&lt;=$I$6,"Y","Z")))</f>
        <v/>
      </c>
    </row>
    <row r="140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6">
        <f>IF(COUNT(B140:M140)=0,"",SUM(B140:M140))</f>
        <v/>
      </c>
      <c r="O140" s="27">
        <f>IF(N140="","",IF(N140&lt;=0,"",N140/SUMIF($N$8:$N$507,"&gt;0")))</f>
        <v/>
      </c>
      <c r="P140" s="27">
        <f>IF(O140="","",SUMIF($N$8:$N$507,"&gt;="&amp;N140)/SUMIF($N$8:$N$507,"&gt;0"))</f>
        <v/>
      </c>
      <c r="Q140" s="28">
        <f>IF(O140="","",IF(SUMIF($N$8:$N$507,"&gt;"&amp;N140)/SUMIF($N$8:$N$507,"&gt;0")&lt;$B$6,"A",IF(SUMIF($N$8:$N$507,"&gt;"&amp;N140)/SUMIF($N$8:$N$507,"&gt;0")&lt;$D$6,"B","C")))</f>
        <v/>
      </c>
      <c r="R140" s="29">
        <f>IF(O140="","",IF(COUNT(B140:M140)&lt;3,"",STDEVP(B140:M140)/AVERAGE(B140:M140)))</f>
        <v/>
      </c>
      <c r="S140" s="28">
        <f>IF(R140="","",IF(R140&lt;=$G$6,"X",IF(R140&lt;=$I$6,"Y","Z")))</f>
        <v/>
      </c>
    </row>
    <row r="141">
      <c r="A141" s="24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6">
        <f>IF(COUNT(B141:M141)=0,"",SUM(B141:M141))</f>
        <v/>
      </c>
      <c r="O141" s="27">
        <f>IF(N141="","",IF(N141&lt;=0,"",N141/SUMIF($N$8:$N$507,"&gt;0")))</f>
        <v/>
      </c>
      <c r="P141" s="27">
        <f>IF(O141="","",SUMIF($N$8:$N$507,"&gt;="&amp;N141)/SUMIF($N$8:$N$507,"&gt;0"))</f>
        <v/>
      </c>
      <c r="Q141" s="28">
        <f>IF(O141="","",IF(SUMIF($N$8:$N$507,"&gt;"&amp;N141)/SUMIF($N$8:$N$507,"&gt;0")&lt;$B$6,"A",IF(SUMIF($N$8:$N$507,"&gt;"&amp;N141)/SUMIF($N$8:$N$507,"&gt;0")&lt;$D$6,"B","C")))</f>
        <v/>
      </c>
      <c r="R141" s="29">
        <f>IF(O141="","",IF(COUNT(B141:M141)&lt;3,"",STDEVP(B141:M141)/AVERAGE(B141:M141)))</f>
        <v/>
      </c>
      <c r="S141" s="28">
        <f>IF(R141="","",IF(R141&lt;=$G$6,"X",IF(R141&lt;=$I$6,"Y","Z")))</f>
        <v/>
      </c>
    </row>
    <row r="14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6">
        <f>IF(COUNT(B142:M142)=0,"",SUM(B142:M142))</f>
        <v/>
      </c>
      <c r="O142" s="27">
        <f>IF(N142="","",IF(N142&lt;=0,"",N142/SUMIF($N$8:$N$507,"&gt;0")))</f>
        <v/>
      </c>
      <c r="P142" s="27">
        <f>IF(O142="","",SUMIF($N$8:$N$507,"&gt;="&amp;N142)/SUMIF($N$8:$N$507,"&gt;0"))</f>
        <v/>
      </c>
      <c r="Q142" s="28">
        <f>IF(O142="","",IF(SUMIF($N$8:$N$507,"&gt;"&amp;N142)/SUMIF($N$8:$N$507,"&gt;0")&lt;$B$6,"A",IF(SUMIF($N$8:$N$507,"&gt;"&amp;N142)/SUMIF($N$8:$N$507,"&gt;0")&lt;$D$6,"B","C")))</f>
        <v/>
      </c>
      <c r="R142" s="29">
        <f>IF(O142="","",IF(COUNT(B142:M142)&lt;3,"",STDEVP(B142:M142)/AVERAGE(B142:M142)))</f>
        <v/>
      </c>
      <c r="S142" s="28">
        <f>IF(R142="","",IF(R142&lt;=$G$6,"X",IF(R142&lt;=$I$6,"Y","Z")))</f>
        <v/>
      </c>
    </row>
    <row r="143">
      <c r="A143" s="24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6">
        <f>IF(COUNT(B143:M143)=0,"",SUM(B143:M143))</f>
        <v/>
      </c>
      <c r="O143" s="27">
        <f>IF(N143="","",IF(N143&lt;=0,"",N143/SUMIF($N$8:$N$507,"&gt;0")))</f>
        <v/>
      </c>
      <c r="P143" s="27">
        <f>IF(O143="","",SUMIF($N$8:$N$507,"&gt;="&amp;N143)/SUMIF($N$8:$N$507,"&gt;0"))</f>
        <v/>
      </c>
      <c r="Q143" s="28">
        <f>IF(O143="","",IF(SUMIF($N$8:$N$507,"&gt;"&amp;N143)/SUMIF($N$8:$N$507,"&gt;0")&lt;$B$6,"A",IF(SUMIF($N$8:$N$507,"&gt;"&amp;N143)/SUMIF($N$8:$N$507,"&gt;0")&lt;$D$6,"B","C")))</f>
        <v/>
      </c>
      <c r="R143" s="29">
        <f>IF(O143="","",IF(COUNT(B143:M143)&lt;3,"",STDEVP(B143:M143)/AVERAGE(B143:M143)))</f>
        <v/>
      </c>
      <c r="S143" s="28">
        <f>IF(R143="","",IF(R143&lt;=$G$6,"X",IF(R143&lt;=$I$6,"Y","Z")))</f>
        <v/>
      </c>
    </row>
    <row r="144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6">
        <f>IF(COUNT(B144:M144)=0,"",SUM(B144:M144))</f>
        <v/>
      </c>
      <c r="O144" s="27">
        <f>IF(N144="","",IF(N144&lt;=0,"",N144/SUMIF($N$8:$N$507,"&gt;0")))</f>
        <v/>
      </c>
      <c r="P144" s="27">
        <f>IF(O144="","",SUMIF($N$8:$N$507,"&gt;="&amp;N144)/SUMIF($N$8:$N$507,"&gt;0"))</f>
        <v/>
      </c>
      <c r="Q144" s="28">
        <f>IF(O144="","",IF(SUMIF($N$8:$N$507,"&gt;"&amp;N144)/SUMIF($N$8:$N$507,"&gt;0")&lt;$B$6,"A",IF(SUMIF($N$8:$N$507,"&gt;"&amp;N144)/SUMIF($N$8:$N$507,"&gt;0")&lt;$D$6,"B","C")))</f>
        <v/>
      </c>
      <c r="R144" s="29">
        <f>IF(O144="","",IF(COUNT(B144:M144)&lt;3,"",STDEVP(B144:M144)/AVERAGE(B144:M144)))</f>
        <v/>
      </c>
      <c r="S144" s="28">
        <f>IF(R144="","",IF(R144&lt;=$G$6,"X",IF(R144&lt;=$I$6,"Y","Z")))</f>
        <v/>
      </c>
    </row>
    <row r="145">
      <c r="A145" s="24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6">
        <f>IF(COUNT(B145:M145)=0,"",SUM(B145:M145))</f>
        <v/>
      </c>
      <c r="O145" s="27">
        <f>IF(N145="","",IF(N145&lt;=0,"",N145/SUMIF($N$8:$N$507,"&gt;0")))</f>
        <v/>
      </c>
      <c r="P145" s="27">
        <f>IF(O145="","",SUMIF($N$8:$N$507,"&gt;="&amp;N145)/SUMIF($N$8:$N$507,"&gt;0"))</f>
        <v/>
      </c>
      <c r="Q145" s="28">
        <f>IF(O145="","",IF(SUMIF($N$8:$N$507,"&gt;"&amp;N145)/SUMIF($N$8:$N$507,"&gt;0")&lt;$B$6,"A",IF(SUMIF($N$8:$N$507,"&gt;"&amp;N145)/SUMIF($N$8:$N$507,"&gt;0")&lt;$D$6,"B","C")))</f>
        <v/>
      </c>
      <c r="R145" s="29">
        <f>IF(O145="","",IF(COUNT(B145:M145)&lt;3,"",STDEVP(B145:M145)/AVERAGE(B145:M145)))</f>
        <v/>
      </c>
      <c r="S145" s="28">
        <f>IF(R145="","",IF(R145&lt;=$G$6,"X",IF(R145&lt;=$I$6,"Y","Z")))</f>
        <v/>
      </c>
    </row>
    <row r="146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6">
        <f>IF(COUNT(B146:M146)=0,"",SUM(B146:M146))</f>
        <v/>
      </c>
      <c r="O146" s="27">
        <f>IF(N146="","",IF(N146&lt;=0,"",N146/SUMIF($N$8:$N$507,"&gt;0")))</f>
        <v/>
      </c>
      <c r="P146" s="27">
        <f>IF(O146="","",SUMIF($N$8:$N$507,"&gt;="&amp;N146)/SUMIF($N$8:$N$507,"&gt;0"))</f>
        <v/>
      </c>
      <c r="Q146" s="28">
        <f>IF(O146="","",IF(SUMIF($N$8:$N$507,"&gt;"&amp;N146)/SUMIF($N$8:$N$507,"&gt;0")&lt;$B$6,"A",IF(SUMIF($N$8:$N$507,"&gt;"&amp;N146)/SUMIF($N$8:$N$507,"&gt;0")&lt;$D$6,"B","C")))</f>
        <v/>
      </c>
      <c r="R146" s="29">
        <f>IF(O146="","",IF(COUNT(B146:M146)&lt;3,"",STDEVP(B146:M146)/AVERAGE(B146:M146)))</f>
        <v/>
      </c>
      <c r="S146" s="28">
        <f>IF(R146="","",IF(R146&lt;=$G$6,"X",IF(R146&lt;=$I$6,"Y","Z")))</f>
        <v/>
      </c>
    </row>
    <row r="147">
      <c r="A147" s="24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6">
        <f>IF(COUNT(B147:M147)=0,"",SUM(B147:M147))</f>
        <v/>
      </c>
      <c r="O147" s="27">
        <f>IF(N147="","",IF(N147&lt;=0,"",N147/SUMIF($N$8:$N$507,"&gt;0")))</f>
        <v/>
      </c>
      <c r="P147" s="27">
        <f>IF(O147="","",SUMIF($N$8:$N$507,"&gt;="&amp;N147)/SUMIF($N$8:$N$507,"&gt;0"))</f>
        <v/>
      </c>
      <c r="Q147" s="28">
        <f>IF(O147="","",IF(SUMIF($N$8:$N$507,"&gt;"&amp;N147)/SUMIF($N$8:$N$507,"&gt;0")&lt;$B$6,"A",IF(SUMIF($N$8:$N$507,"&gt;"&amp;N147)/SUMIF($N$8:$N$507,"&gt;0")&lt;$D$6,"B","C")))</f>
        <v/>
      </c>
      <c r="R147" s="29">
        <f>IF(O147="","",IF(COUNT(B147:M147)&lt;3,"",STDEVP(B147:M147)/AVERAGE(B147:M147)))</f>
        <v/>
      </c>
      <c r="S147" s="28">
        <f>IF(R147="","",IF(R147&lt;=$G$6,"X",IF(R147&lt;=$I$6,"Y","Z")))</f>
        <v/>
      </c>
    </row>
    <row r="148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6">
        <f>IF(COUNT(B148:M148)=0,"",SUM(B148:M148))</f>
        <v/>
      </c>
      <c r="O148" s="27">
        <f>IF(N148="","",IF(N148&lt;=0,"",N148/SUMIF($N$8:$N$507,"&gt;0")))</f>
        <v/>
      </c>
      <c r="P148" s="27">
        <f>IF(O148="","",SUMIF($N$8:$N$507,"&gt;="&amp;N148)/SUMIF($N$8:$N$507,"&gt;0"))</f>
        <v/>
      </c>
      <c r="Q148" s="28">
        <f>IF(O148="","",IF(SUMIF($N$8:$N$507,"&gt;"&amp;N148)/SUMIF($N$8:$N$507,"&gt;0")&lt;$B$6,"A",IF(SUMIF($N$8:$N$507,"&gt;"&amp;N148)/SUMIF($N$8:$N$507,"&gt;0")&lt;$D$6,"B","C")))</f>
        <v/>
      </c>
      <c r="R148" s="29">
        <f>IF(O148="","",IF(COUNT(B148:M148)&lt;3,"",STDEVP(B148:M148)/AVERAGE(B148:M148)))</f>
        <v/>
      </c>
      <c r="S148" s="28">
        <f>IF(R148="","",IF(R148&lt;=$G$6,"X",IF(R148&lt;=$I$6,"Y","Z")))</f>
        <v/>
      </c>
    </row>
    <row r="149">
      <c r="A149" s="24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6">
        <f>IF(COUNT(B149:M149)=0,"",SUM(B149:M149))</f>
        <v/>
      </c>
      <c r="O149" s="27">
        <f>IF(N149="","",IF(N149&lt;=0,"",N149/SUMIF($N$8:$N$507,"&gt;0")))</f>
        <v/>
      </c>
      <c r="P149" s="27">
        <f>IF(O149="","",SUMIF($N$8:$N$507,"&gt;="&amp;N149)/SUMIF($N$8:$N$507,"&gt;0"))</f>
        <v/>
      </c>
      <c r="Q149" s="28">
        <f>IF(O149="","",IF(SUMIF($N$8:$N$507,"&gt;"&amp;N149)/SUMIF($N$8:$N$507,"&gt;0")&lt;$B$6,"A",IF(SUMIF($N$8:$N$507,"&gt;"&amp;N149)/SUMIF($N$8:$N$507,"&gt;0")&lt;$D$6,"B","C")))</f>
        <v/>
      </c>
      <c r="R149" s="29">
        <f>IF(O149="","",IF(COUNT(B149:M149)&lt;3,"",STDEVP(B149:M149)/AVERAGE(B149:M149)))</f>
        <v/>
      </c>
      <c r="S149" s="28">
        <f>IF(R149="","",IF(R149&lt;=$G$6,"X",IF(R149&lt;=$I$6,"Y","Z")))</f>
        <v/>
      </c>
    </row>
    <row r="150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6">
        <f>IF(COUNT(B150:M150)=0,"",SUM(B150:M150))</f>
        <v/>
      </c>
      <c r="O150" s="27">
        <f>IF(N150="","",IF(N150&lt;=0,"",N150/SUMIF($N$8:$N$507,"&gt;0")))</f>
        <v/>
      </c>
      <c r="P150" s="27">
        <f>IF(O150="","",SUMIF($N$8:$N$507,"&gt;="&amp;N150)/SUMIF($N$8:$N$507,"&gt;0"))</f>
        <v/>
      </c>
      <c r="Q150" s="28">
        <f>IF(O150="","",IF(SUMIF($N$8:$N$507,"&gt;"&amp;N150)/SUMIF($N$8:$N$507,"&gt;0")&lt;$B$6,"A",IF(SUMIF($N$8:$N$507,"&gt;"&amp;N150)/SUMIF($N$8:$N$507,"&gt;0")&lt;$D$6,"B","C")))</f>
        <v/>
      </c>
      <c r="R150" s="29">
        <f>IF(O150="","",IF(COUNT(B150:M150)&lt;3,"",STDEVP(B150:M150)/AVERAGE(B150:M150)))</f>
        <v/>
      </c>
      <c r="S150" s="28">
        <f>IF(R150="","",IF(R150&lt;=$G$6,"X",IF(R150&lt;=$I$6,"Y","Z")))</f>
        <v/>
      </c>
    </row>
    <row r="151">
      <c r="A151" s="24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6">
        <f>IF(COUNT(B151:M151)=0,"",SUM(B151:M151))</f>
        <v/>
      </c>
      <c r="O151" s="27">
        <f>IF(N151="","",IF(N151&lt;=0,"",N151/SUMIF($N$8:$N$507,"&gt;0")))</f>
        <v/>
      </c>
      <c r="P151" s="27">
        <f>IF(O151="","",SUMIF($N$8:$N$507,"&gt;="&amp;N151)/SUMIF($N$8:$N$507,"&gt;0"))</f>
        <v/>
      </c>
      <c r="Q151" s="28">
        <f>IF(O151="","",IF(SUMIF($N$8:$N$507,"&gt;"&amp;N151)/SUMIF($N$8:$N$507,"&gt;0")&lt;$B$6,"A",IF(SUMIF($N$8:$N$507,"&gt;"&amp;N151)/SUMIF($N$8:$N$507,"&gt;0")&lt;$D$6,"B","C")))</f>
        <v/>
      </c>
      <c r="R151" s="29">
        <f>IF(O151="","",IF(COUNT(B151:M151)&lt;3,"",STDEVP(B151:M151)/AVERAGE(B151:M151)))</f>
        <v/>
      </c>
      <c r="S151" s="28">
        <f>IF(R151="","",IF(R151&lt;=$G$6,"X",IF(R151&lt;=$I$6,"Y","Z")))</f>
        <v/>
      </c>
    </row>
    <row r="15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6">
        <f>IF(COUNT(B152:M152)=0,"",SUM(B152:M152))</f>
        <v/>
      </c>
      <c r="O152" s="27">
        <f>IF(N152="","",IF(N152&lt;=0,"",N152/SUMIF($N$8:$N$507,"&gt;0")))</f>
        <v/>
      </c>
      <c r="P152" s="27">
        <f>IF(O152="","",SUMIF($N$8:$N$507,"&gt;="&amp;N152)/SUMIF($N$8:$N$507,"&gt;0"))</f>
        <v/>
      </c>
      <c r="Q152" s="28">
        <f>IF(O152="","",IF(SUMIF($N$8:$N$507,"&gt;"&amp;N152)/SUMIF($N$8:$N$507,"&gt;0")&lt;$B$6,"A",IF(SUMIF($N$8:$N$507,"&gt;"&amp;N152)/SUMIF($N$8:$N$507,"&gt;0")&lt;$D$6,"B","C")))</f>
        <v/>
      </c>
      <c r="R152" s="29">
        <f>IF(O152="","",IF(COUNT(B152:M152)&lt;3,"",STDEVP(B152:M152)/AVERAGE(B152:M152)))</f>
        <v/>
      </c>
      <c r="S152" s="28">
        <f>IF(R152="","",IF(R152&lt;=$G$6,"X",IF(R152&lt;=$I$6,"Y","Z")))</f>
        <v/>
      </c>
    </row>
    <row r="153">
      <c r="A153" s="24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6">
        <f>IF(COUNT(B153:M153)=0,"",SUM(B153:M153))</f>
        <v/>
      </c>
      <c r="O153" s="27">
        <f>IF(N153="","",IF(N153&lt;=0,"",N153/SUMIF($N$8:$N$507,"&gt;0")))</f>
        <v/>
      </c>
      <c r="P153" s="27">
        <f>IF(O153="","",SUMIF($N$8:$N$507,"&gt;="&amp;N153)/SUMIF($N$8:$N$507,"&gt;0"))</f>
        <v/>
      </c>
      <c r="Q153" s="28">
        <f>IF(O153="","",IF(SUMIF($N$8:$N$507,"&gt;"&amp;N153)/SUMIF($N$8:$N$507,"&gt;0")&lt;$B$6,"A",IF(SUMIF($N$8:$N$507,"&gt;"&amp;N153)/SUMIF($N$8:$N$507,"&gt;0")&lt;$D$6,"B","C")))</f>
        <v/>
      </c>
      <c r="R153" s="29">
        <f>IF(O153="","",IF(COUNT(B153:M153)&lt;3,"",STDEVP(B153:M153)/AVERAGE(B153:M153)))</f>
        <v/>
      </c>
      <c r="S153" s="28">
        <f>IF(R153="","",IF(R153&lt;=$G$6,"X",IF(R153&lt;=$I$6,"Y","Z")))</f>
        <v/>
      </c>
    </row>
    <row r="154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6">
        <f>IF(COUNT(B154:M154)=0,"",SUM(B154:M154))</f>
        <v/>
      </c>
      <c r="O154" s="27">
        <f>IF(N154="","",IF(N154&lt;=0,"",N154/SUMIF($N$8:$N$507,"&gt;0")))</f>
        <v/>
      </c>
      <c r="P154" s="27">
        <f>IF(O154="","",SUMIF($N$8:$N$507,"&gt;="&amp;N154)/SUMIF($N$8:$N$507,"&gt;0"))</f>
        <v/>
      </c>
      <c r="Q154" s="28">
        <f>IF(O154="","",IF(SUMIF($N$8:$N$507,"&gt;"&amp;N154)/SUMIF($N$8:$N$507,"&gt;0")&lt;$B$6,"A",IF(SUMIF($N$8:$N$507,"&gt;"&amp;N154)/SUMIF($N$8:$N$507,"&gt;0")&lt;$D$6,"B","C")))</f>
        <v/>
      </c>
      <c r="R154" s="29">
        <f>IF(O154="","",IF(COUNT(B154:M154)&lt;3,"",STDEVP(B154:M154)/AVERAGE(B154:M154)))</f>
        <v/>
      </c>
      <c r="S154" s="28">
        <f>IF(R154="","",IF(R154&lt;=$G$6,"X",IF(R154&lt;=$I$6,"Y","Z")))</f>
        <v/>
      </c>
    </row>
    <row r="155">
      <c r="A155" s="24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6">
        <f>IF(COUNT(B155:M155)=0,"",SUM(B155:M155))</f>
        <v/>
      </c>
      <c r="O155" s="27">
        <f>IF(N155="","",IF(N155&lt;=0,"",N155/SUMIF($N$8:$N$507,"&gt;0")))</f>
        <v/>
      </c>
      <c r="P155" s="27">
        <f>IF(O155="","",SUMIF($N$8:$N$507,"&gt;="&amp;N155)/SUMIF($N$8:$N$507,"&gt;0"))</f>
        <v/>
      </c>
      <c r="Q155" s="28">
        <f>IF(O155="","",IF(SUMIF($N$8:$N$507,"&gt;"&amp;N155)/SUMIF($N$8:$N$507,"&gt;0")&lt;$B$6,"A",IF(SUMIF($N$8:$N$507,"&gt;"&amp;N155)/SUMIF($N$8:$N$507,"&gt;0")&lt;$D$6,"B","C")))</f>
        <v/>
      </c>
      <c r="R155" s="29">
        <f>IF(O155="","",IF(COUNT(B155:M155)&lt;3,"",STDEVP(B155:M155)/AVERAGE(B155:M155)))</f>
        <v/>
      </c>
      <c r="S155" s="28">
        <f>IF(R155="","",IF(R155&lt;=$G$6,"X",IF(R155&lt;=$I$6,"Y","Z")))</f>
        <v/>
      </c>
    </row>
    <row r="156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6">
        <f>IF(COUNT(B156:M156)=0,"",SUM(B156:M156))</f>
        <v/>
      </c>
      <c r="O156" s="27">
        <f>IF(N156="","",IF(N156&lt;=0,"",N156/SUMIF($N$8:$N$507,"&gt;0")))</f>
        <v/>
      </c>
      <c r="P156" s="27">
        <f>IF(O156="","",SUMIF($N$8:$N$507,"&gt;="&amp;N156)/SUMIF($N$8:$N$507,"&gt;0"))</f>
        <v/>
      </c>
      <c r="Q156" s="28">
        <f>IF(O156="","",IF(SUMIF($N$8:$N$507,"&gt;"&amp;N156)/SUMIF($N$8:$N$507,"&gt;0")&lt;$B$6,"A",IF(SUMIF($N$8:$N$507,"&gt;"&amp;N156)/SUMIF($N$8:$N$507,"&gt;0")&lt;$D$6,"B","C")))</f>
        <v/>
      </c>
      <c r="R156" s="29">
        <f>IF(O156="","",IF(COUNT(B156:M156)&lt;3,"",STDEVP(B156:M156)/AVERAGE(B156:M156)))</f>
        <v/>
      </c>
      <c r="S156" s="28">
        <f>IF(R156="","",IF(R156&lt;=$G$6,"X",IF(R156&lt;=$I$6,"Y","Z")))</f>
        <v/>
      </c>
    </row>
    <row r="157">
      <c r="A157" s="24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6">
        <f>IF(COUNT(B157:M157)=0,"",SUM(B157:M157))</f>
        <v/>
      </c>
      <c r="O157" s="27">
        <f>IF(N157="","",IF(N157&lt;=0,"",N157/SUMIF($N$8:$N$507,"&gt;0")))</f>
        <v/>
      </c>
      <c r="P157" s="27">
        <f>IF(O157="","",SUMIF($N$8:$N$507,"&gt;="&amp;N157)/SUMIF($N$8:$N$507,"&gt;0"))</f>
        <v/>
      </c>
      <c r="Q157" s="28">
        <f>IF(O157="","",IF(SUMIF($N$8:$N$507,"&gt;"&amp;N157)/SUMIF($N$8:$N$507,"&gt;0")&lt;$B$6,"A",IF(SUMIF($N$8:$N$507,"&gt;"&amp;N157)/SUMIF($N$8:$N$507,"&gt;0")&lt;$D$6,"B","C")))</f>
        <v/>
      </c>
      <c r="R157" s="29">
        <f>IF(O157="","",IF(COUNT(B157:M157)&lt;3,"",STDEVP(B157:M157)/AVERAGE(B157:M157)))</f>
        <v/>
      </c>
      <c r="S157" s="28">
        <f>IF(R157="","",IF(R157&lt;=$G$6,"X",IF(R157&lt;=$I$6,"Y","Z")))</f>
        <v/>
      </c>
    </row>
    <row r="158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6">
        <f>IF(COUNT(B158:M158)=0,"",SUM(B158:M158))</f>
        <v/>
      </c>
      <c r="O158" s="27">
        <f>IF(N158="","",IF(N158&lt;=0,"",N158/SUMIF($N$8:$N$507,"&gt;0")))</f>
        <v/>
      </c>
      <c r="P158" s="27">
        <f>IF(O158="","",SUMIF($N$8:$N$507,"&gt;="&amp;N158)/SUMIF($N$8:$N$507,"&gt;0"))</f>
        <v/>
      </c>
      <c r="Q158" s="28">
        <f>IF(O158="","",IF(SUMIF($N$8:$N$507,"&gt;"&amp;N158)/SUMIF($N$8:$N$507,"&gt;0")&lt;$B$6,"A",IF(SUMIF($N$8:$N$507,"&gt;"&amp;N158)/SUMIF($N$8:$N$507,"&gt;0")&lt;$D$6,"B","C")))</f>
        <v/>
      </c>
      <c r="R158" s="29">
        <f>IF(O158="","",IF(COUNT(B158:M158)&lt;3,"",STDEVP(B158:M158)/AVERAGE(B158:M158)))</f>
        <v/>
      </c>
      <c r="S158" s="28">
        <f>IF(R158="","",IF(R158&lt;=$G$6,"X",IF(R158&lt;=$I$6,"Y","Z")))</f>
        <v/>
      </c>
    </row>
    <row r="159">
      <c r="A159" s="24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6">
        <f>IF(COUNT(B159:M159)=0,"",SUM(B159:M159))</f>
        <v/>
      </c>
      <c r="O159" s="27">
        <f>IF(N159="","",IF(N159&lt;=0,"",N159/SUMIF($N$8:$N$507,"&gt;0")))</f>
        <v/>
      </c>
      <c r="P159" s="27">
        <f>IF(O159="","",SUMIF($N$8:$N$507,"&gt;="&amp;N159)/SUMIF($N$8:$N$507,"&gt;0"))</f>
        <v/>
      </c>
      <c r="Q159" s="28">
        <f>IF(O159="","",IF(SUMIF($N$8:$N$507,"&gt;"&amp;N159)/SUMIF($N$8:$N$507,"&gt;0")&lt;$B$6,"A",IF(SUMIF($N$8:$N$507,"&gt;"&amp;N159)/SUMIF($N$8:$N$507,"&gt;0")&lt;$D$6,"B","C")))</f>
        <v/>
      </c>
      <c r="R159" s="29">
        <f>IF(O159="","",IF(COUNT(B159:M159)&lt;3,"",STDEVP(B159:M159)/AVERAGE(B159:M159)))</f>
        <v/>
      </c>
      <c r="S159" s="28">
        <f>IF(R159="","",IF(R159&lt;=$G$6,"X",IF(R159&lt;=$I$6,"Y","Z")))</f>
        <v/>
      </c>
    </row>
    <row r="160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6">
        <f>IF(COUNT(B160:M160)=0,"",SUM(B160:M160))</f>
        <v/>
      </c>
      <c r="O160" s="27">
        <f>IF(N160="","",IF(N160&lt;=0,"",N160/SUMIF($N$8:$N$507,"&gt;0")))</f>
        <v/>
      </c>
      <c r="P160" s="27">
        <f>IF(O160="","",SUMIF($N$8:$N$507,"&gt;="&amp;N160)/SUMIF($N$8:$N$507,"&gt;0"))</f>
        <v/>
      </c>
      <c r="Q160" s="28">
        <f>IF(O160="","",IF(SUMIF($N$8:$N$507,"&gt;"&amp;N160)/SUMIF($N$8:$N$507,"&gt;0")&lt;$B$6,"A",IF(SUMIF($N$8:$N$507,"&gt;"&amp;N160)/SUMIF($N$8:$N$507,"&gt;0")&lt;$D$6,"B","C")))</f>
        <v/>
      </c>
      <c r="R160" s="29">
        <f>IF(O160="","",IF(COUNT(B160:M160)&lt;3,"",STDEVP(B160:M160)/AVERAGE(B160:M160)))</f>
        <v/>
      </c>
      <c r="S160" s="28">
        <f>IF(R160="","",IF(R160&lt;=$G$6,"X",IF(R160&lt;=$I$6,"Y","Z")))</f>
        <v/>
      </c>
    </row>
    <row r="161">
      <c r="A161" s="24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6">
        <f>IF(COUNT(B161:M161)=0,"",SUM(B161:M161))</f>
        <v/>
      </c>
      <c r="O161" s="27">
        <f>IF(N161="","",IF(N161&lt;=0,"",N161/SUMIF($N$8:$N$507,"&gt;0")))</f>
        <v/>
      </c>
      <c r="P161" s="27">
        <f>IF(O161="","",SUMIF($N$8:$N$507,"&gt;="&amp;N161)/SUMIF($N$8:$N$507,"&gt;0"))</f>
        <v/>
      </c>
      <c r="Q161" s="28">
        <f>IF(O161="","",IF(SUMIF($N$8:$N$507,"&gt;"&amp;N161)/SUMIF($N$8:$N$507,"&gt;0")&lt;$B$6,"A",IF(SUMIF($N$8:$N$507,"&gt;"&amp;N161)/SUMIF($N$8:$N$507,"&gt;0")&lt;$D$6,"B","C")))</f>
        <v/>
      </c>
      <c r="R161" s="29">
        <f>IF(O161="","",IF(COUNT(B161:M161)&lt;3,"",STDEVP(B161:M161)/AVERAGE(B161:M161)))</f>
        <v/>
      </c>
      <c r="S161" s="28">
        <f>IF(R161="","",IF(R161&lt;=$G$6,"X",IF(R161&lt;=$I$6,"Y","Z")))</f>
        <v/>
      </c>
    </row>
    <row r="16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6">
        <f>IF(COUNT(B162:M162)=0,"",SUM(B162:M162))</f>
        <v/>
      </c>
      <c r="O162" s="27">
        <f>IF(N162="","",IF(N162&lt;=0,"",N162/SUMIF($N$8:$N$507,"&gt;0")))</f>
        <v/>
      </c>
      <c r="P162" s="27">
        <f>IF(O162="","",SUMIF($N$8:$N$507,"&gt;="&amp;N162)/SUMIF($N$8:$N$507,"&gt;0"))</f>
        <v/>
      </c>
      <c r="Q162" s="28">
        <f>IF(O162="","",IF(SUMIF($N$8:$N$507,"&gt;"&amp;N162)/SUMIF($N$8:$N$507,"&gt;0")&lt;$B$6,"A",IF(SUMIF($N$8:$N$507,"&gt;"&amp;N162)/SUMIF($N$8:$N$507,"&gt;0")&lt;$D$6,"B","C")))</f>
        <v/>
      </c>
      <c r="R162" s="29">
        <f>IF(O162="","",IF(COUNT(B162:M162)&lt;3,"",STDEVP(B162:M162)/AVERAGE(B162:M162)))</f>
        <v/>
      </c>
      <c r="S162" s="28">
        <f>IF(R162="","",IF(R162&lt;=$G$6,"X",IF(R162&lt;=$I$6,"Y","Z")))</f>
        <v/>
      </c>
    </row>
    <row r="163">
      <c r="A163" s="24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6">
        <f>IF(COUNT(B163:M163)=0,"",SUM(B163:M163))</f>
        <v/>
      </c>
      <c r="O163" s="27">
        <f>IF(N163="","",IF(N163&lt;=0,"",N163/SUMIF($N$8:$N$507,"&gt;0")))</f>
        <v/>
      </c>
      <c r="P163" s="27">
        <f>IF(O163="","",SUMIF($N$8:$N$507,"&gt;="&amp;N163)/SUMIF($N$8:$N$507,"&gt;0"))</f>
        <v/>
      </c>
      <c r="Q163" s="28">
        <f>IF(O163="","",IF(SUMIF($N$8:$N$507,"&gt;"&amp;N163)/SUMIF($N$8:$N$507,"&gt;0")&lt;$B$6,"A",IF(SUMIF($N$8:$N$507,"&gt;"&amp;N163)/SUMIF($N$8:$N$507,"&gt;0")&lt;$D$6,"B","C")))</f>
        <v/>
      </c>
      <c r="R163" s="29">
        <f>IF(O163="","",IF(COUNT(B163:M163)&lt;3,"",STDEVP(B163:M163)/AVERAGE(B163:M163)))</f>
        <v/>
      </c>
      <c r="S163" s="28">
        <f>IF(R163="","",IF(R163&lt;=$G$6,"X",IF(R163&lt;=$I$6,"Y","Z")))</f>
        <v/>
      </c>
    </row>
    <row r="164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6">
        <f>IF(COUNT(B164:M164)=0,"",SUM(B164:M164))</f>
        <v/>
      </c>
      <c r="O164" s="27">
        <f>IF(N164="","",IF(N164&lt;=0,"",N164/SUMIF($N$8:$N$507,"&gt;0")))</f>
        <v/>
      </c>
      <c r="P164" s="27">
        <f>IF(O164="","",SUMIF($N$8:$N$507,"&gt;="&amp;N164)/SUMIF($N$8:$N$507,"&gt;0"))</f>
        <v/>
      </c>
      <c r="Q164" s="28">
        <f>IF(O164="","",IF(SUMIF($N$8:$N$507,"&gt;"&amp;N164)/SUMIF($N$8:$N$507,"&gt;0")&lt;$B$6,"A",IF(SUMIF($N$8:$N$507,"&gt;"&amp;N164)/SUMIF($N$8:$N$507,"&gt;0")&lt;$D$6,"B","C")))</f>
        <v/>
      </c>
      <c r="R164" s="29">
        <f>IF(O164="","",IF(COUNT(B164:M164)&lt;3,"",STDEVP(B164:M164)/AVERAGE(B164:M164)))</f>
        <v/>
      </c>
      <c r="S164" s="28">
        <f>IF(R164="","",IF(R164&lt;=$G$6,"X",IF(R164&lt;=$I$6,"Y","Z")))</f>
        <v/>
      </c>
    </row>
    <row r="165">
      <c r="A165" s="24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6">
        <f>IF(COUNT(B165:M165)=0,"",SUM(B165:M165))</f>
        <v/>
      </c>
      <c r="O165" s="27">
        <f>IF(N165="","",IF(N165&lt;=0,"",N165/SUMIF($N$8:$N$507,"&gt;0")))</f>
        <v/>
      </c>
      <c r="P165" s="27">
        <f>IF(O165="","",SUMIF($N$8:$N$507,"&gt;="&amp;N165)/SUMIF($N$8:$N$507,"&gt;0"))</f>
        <v/>
      </c>
      <c r="Q165" s="28">
        <f>IF(O165="","",IF(SUMIF($N$8:$N$507,"&gt;"&amp;N165)/SUMIF($N$8:$N$507,"&gt;0")&lt;$B$6,"A",IF(SUMIF($N$8:$N$507,"&gt;"&amp;N165)/SUMIF($N$8:$N$507,"&gt;0")&lt;$D$6,"B","C")))</f>
        <v/>
      </c>
      <c r="R165" s="29">
        <f>IF(O165="","",IF(COUNT(B165:M165)&lt;3,"",STDEVP(B165:M165)/AVERAGE(B165:M165)))</f>
        <v/>
      </c>
      <c r="S165" s="28">
        <f>IF(R165="","",IF(R165&lt;=$G$6,"X",IF(R165&lt;=$I$6,"Y","Z")))</f>
        <v/>
      </c>
    </row>
    <row r="166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6">
        <f>IF(COUNT(B166:M166)=0,"",SUM(B166:M166))</f>
        <v/>
      </c>
      <c r="O166" s="27">
        <f>IF(N166="","",IF(N166&lt;=0,"",N166/SUMIF($N$8:$N$507,"&gt;0")))</f>
        <v/>
      </c>
      <c r="P166" s="27">
        <f>IF(O166="","",SUMIF($N$8:$N$507,"&gt;="&amp;N166)/SUMIF($N$8:$N$507,"&gt;0"))</f>
        <v/>
      </c>
      <c r="Q166" s="28">
        <f>IF(O166="","",IF(SUMIF($N$8:$N$507,"&gt;"&amp;N166)/SUMIF($N$8:$N$507,"&gt;0")&lt;$B$6,"A",IF(SUMIF($N$8:$N$507,"&gt;"&amp;N166)/SUMIF($N$8:$N$507,"&gt;0")&lt;$D$6,"B","C")))</f>
        <v/>
      </c>
      <c r="R166" s="29">
        <f>IF(O166="","",IF(COUNT(B166:M166)&lt;3,"",STDEVP(B166:M166)/AVERAGE(B166:M166)))</f>
        <v/>
      </c>
      <c r="S166" s="28">
        <f>IF(R166="","",IF(R166&lt;=$G$6,"X",IF(R166&lt;=$I$6,"Y","Z")))</f>
        <v/>
      </c>
    </row>
    <row r="167">
      <c r="A167" s="24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6">
        <f>IF(COUNT(B167:M167)=0,"",SUM(B167:M167))</f>
        <v/>
      </c>
      <c r="O167" s="27">
        <f>IF(N167="","",IF(N167&lt;=0,"",N167/SUMIF($N$8:$N$507,"&gt;0")))</f>
        <v/>
      </c>
      <c r="P167" s="27">
        <f>IF(O167="","",SUMIF($N$8:$N$507,"&gt;="&amp;N167)/SUMIF($N$8:$N$507,"&gt;0"))</f>
        <v/>
      </c>
      <c r="Q167" s="28">
        <f>IF(O167="","",IF(SUMIF($N$8:$N$507,"&gt;"&amp;N167)/SUMIF($N$8:$N$507,"&gt;0")&lt;$B$6,"A",IF(SUMIF($N$8:$N$507,"&gt;"&amp;N167)/SUMIF($N$8:$N$507,"&gt;0")&lt;$D$6,"B","C")))</f>
        <v/>
      </c>
      <c r="R167" s="29">
        <f>IF(O167="","",IF(COUNT(B167:M167)&lt;3,"",STDEVP(B167:M167)/AVERAGE(B167:M167)))</f>
        <v/>
      </c>
      <c r="S167" s="28">
        <f>IF(R167="","",IF(R167&lt;=$G$6,"X",IF(R167&lt;=$I$6,"Y","Z")))</f>
        <v/>
      </c>
    </row>
    <row r="168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6">
        <f>IF(COUNT(B168:M168)=0,"",SUM(B168:M168))</f>
        <v/>
      </c>
      <c r="O168" s="27">
        <f>IF(N168="","",IF(N168&lt;=0,"",N168/SUMIF($N$8:$N$507,"&gt;0")))</f>
        <v/>
      </c>
      <c r="P168" s="27">
        <f>IF(O168="","",SUMIF($N$8:$N$507,"&gt;="&amp;N168)/SUMIF($N$8:$N$507,"&gt;0"))</f>
        <v/>
      </c>
      <c r="Q168" s="28">
        <f>IF(O168="","",IF(SUMIF($N$8:$N$507,"&gt;"&amp;N168)/SUMIF($N$8:$N$507,"&gt;0")&lt;$B$6,"A",IF(SUMIF($N$8:$N$507,"&gt;"&amp;N168)/SUMIF($N$8:$N$507,"&gt;0")&lt;$D$6,"B","C")))</f>
        <v/>
      </c>
      <c r="R168" s="29">
        <f>IF(O168="","",IF(COUNT(B168:M168)&lt;3,"",STDEVP(B168:M168)/AVERAGE(B168:M168)))</f>
        <v/>
      </c>
      <c r="S168" s="28">
        <f>IF(R168="","",IF(R168&lt;=$G$6,"X",IF(R168&lt;=$I$6,"Y","Z")))</f>
        <v/>
      </c>
    </row>
    <row r="169">
      <c r="A169" s="24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6">
        <f>IF(COUNT(B169:M169)=0,"",SUM(B169:M169))</f>
        <v/>
      </c>
      <c r="O169" s="27">
        <f>IF(N169="","",IF(N169&lt;=0,"",N169/SUMIF($N$8:$N$507,"&gt;0")))</f>
        <v/>
      </c>
      <c r="P169" s="27">
        <f>IF(O169="","",SUMIF($N$8:$N$507,"&gt;="&amp;N169)/SUMIF($N$8:$N$507,"&gt;0"))</f>
        <v/>
      </c>
      <c r="Q169" s="28">
        <f>IF(O169="","",IF(SUMIF($N$8:$N$507,"&gt;"&amp;N169)/SUMIF($N$8:$N$507,"&gt;0")&lt;$B$6,"A",IF(SUMIF($N$8:$N$507,"&gt;"&amp;N169)/SUMIF($N$8:$N$507,"&gt;0")&lt;$D$6,"B","C")))</f>
        <v/>
      </c>
      <c r="R169" s="29">
        <f>IF(O169="","",IF(COUNT(B169:M169)&lt;3,"",STDEVP(B169:M169)/AVERAGE(B169:M169)))</f>
        <v/>
      </c>
      <c r="S169" s="28">
        <f>IF(R169="","",IF(R169&lt;=$G$6,"X",IF(R169&lt;=$I$6,"Y","Z")))</f>
        <v/>
      </c>
    </row>
    <row r="170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6">
        <f>IF(COUNT(B170:M170)=0,"",SUM(B170:M170))</f>
        <v/>
      </c>
      <c r="O170" s="27">
        <f>IF(N170="","",IF(N170&lt;=0,"",N170/SUMIF($N$8:$N$507,"&gt;0")))</f>
        <v/>
      </c>
      <c r="P170" s="27">
        <f>IF(O170="","",SUMIF($N$8:$N$507,"&gt;="&amp;N170)/SUMIF($N$8:$N$507,"&gt;0"))</f>
        <v/>
      </c>
      <c r="Q170" s="28">
        <f>IF(O170="","",IF(SUMIF($N$8:$N$507,"&gt;"&amp;N170)/SUMIF($N$8:$N$507,"&gt;0")&lt;$B$6,"A",IF(SUMIF($N$8:$N$507,"&gt;"&amp;N170)/SUMIF($N$8:$N$507,"&gt;0")&lt;$D$6,"B","C")))</f>
        <v/>
      </c>
      <c r="R170" s="29">
        <f>IF(O170="","",IF(COUNT(B170:M170)&lt;3,"",STDEVP(B170:M170)/AVERAGE(B170:M170)))</f>
        <v/>
      </c>
      <c r="S170" s="28">
        <f>IF(R170="","",IF(R170&lt;=$G$6,"X",IF(R170&lt;=$I$6,"Y","Z")))</f>
        <v/>
      </c>
    </row>
    <row r="171">
      <c r="A171" s="24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6">
        <f>IF(COUNT(B171:M171)=0,"",SUM(B171:M171))</f>
        <v/>
      </c>
      <c r="O171" s="27">
        <f>IF(N171="","",IF(N171&lt;=0,"",N171/SUMIF($N$8:$N$507,"&gt;0")))</f>
        <v/>
      </c>
      <c r="P171" s="27">
        <f>IF(O171="","",SUMIF($N$8:$N$507,"&gt;="&amp;N171)/SUMIF($N$8:$N$507,"&gt;0"))</f>
        <v/>
      </c>
      <c r="Q171" s="28">
        <f>IF(O171="","",IF(SUMIF($N$8:$N$507,"&gt;"&amp;N171)/SUMIF($N$8:$N$507,"&gt;0")&lt;$B$6,"A",IF(SUMIF($N$8:$N$507,"&gt;"&amp;N171)/SUMIF($N$8:$N$507,"&gt;0")&lt;$D$6,"B","C")))</f>
        <v/>
      </c>
      <c r="R171" s="29">
        <f>IF(O171="","",IF(COUNT(B171:M171)&lt;3,"",STDEVP(B171:M171)/AVERAGE(B171:M171)))</f>
        <v/>
      </c>
      <c r="S171" s="28">
        <f>IF(R171="","",IF(R171&lt;=$G$6,"X",IF(R171&lt;=$I$6,"Y","Z")))</f>
        <v/>
      </c>
    </row>
    <row r="17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6">
        <f>IF(COUNT(B172:M172)=0,"",SUM(B172:M172))</f>
        <v/>
      </c>
      <c r="O172" s="27">
        <f>IF(N172="","",IF(N172&lt;=0,"",N172/SUMIF($N$8:$N$507,"&gt;0")))</f>
        <v/>
      </c>
      <c r="P172" s="27">
        <f>IF(O172="","",SUMIF($N$8:$N$507,"&gt;="&amp;N172)/SUMIF($N$8:$N$507,"&gt;0"))</f>
        <v/>
      </c>
      <c r="Q172" s="28">
        <f>IF(O172="","",IF(SUMIF($N$8:$N$507,"&gt;"&amp;N172)/SUMIF($N$8:$N$507,"&gt;0")&lt;$B$6,"A",IF(SUMIF($N$8:$N$507,"&gt;"&amp;N172)/SUMIF($N$8:$N$507,"&gt;0")&lt;$D$6,"B","C")))</f>
        <v/>
      </c>
      <c r="R172" s="29">
        <f>IF(O172="","",IF(COUNT(B172:M172)&lt;3,"",STDEVP(B172:M172)/AVERAGE(B172:M172)))</f>
        <v/>
      </c>
      <c r="S172" s="28">
        <f>IF(R172="","",IF(R172&lt;=$G$6,"X",IF(R172&lt;=$I$6,"Y","Z")))</f>
        <v/>
      </c>
    </row>
    <row r="173">
      <c r="A173" s="24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6">
        <f>IF(COUNT(B173:M173)=0,"",SUM(B173:M173))</f>
        <v/>
      </c>
      <c r="O173" s="27">
        <f>IF(N173="","",IF(N173&lt;=0,"",N173/SUMIF($N$8:$N$507,"&gt;0")))</f>
        <v/>
      </c>
      <c r="P173" s="27">
        <f>IF(O173="","",SUMIF($N$8:$N$507,"&gt;="&amp;N173)/SUMIF($N$8:$N$507,"&gt;0"))</f>
        <v/>
      </c>
      <c r="Q173" s="28">
        <f>IF(O173="","",IF(SUMIF($N$8:$N$507,"&gt;"&amp;N173)/SUMIF($N$8:$N$507,"&gt;0")&lt;$B$6,"A",IF(SUMIF($N$8:$N$507,"&gt;"&amp;N173)/SUMIF($N$8:$N$507,"&gt;0")&lt;$D$6,"B","C")))</f>
        <v/>
      </c>
      <c r="R173" s="29">
        <f>IF(O173="","",IF(COUNT(B173:M173)&lt;3,"",STDEVP(B173:M173)/AVERAGE(B173:M173)))</f>
        <v/>
      </c>
      <c r="S173" s="28">
        <f>IF(R173="","",IF(R173&lt;=$G$6,"X",IF(R173&lt;=$I$6,"Y","Z")))</f>
        <v/>
      </c>
    </row>
    <row r="174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6">
        <f>IF(COUNT(B174:M174)=0,"",SUM(B174:M174))</f>
        <v/>
      </c>
      <c r="O174" s="27">
        <f>IF(N174="","",IF(N174&lt;=0,"",N174/SUMIF($N$8:$N$507,"&gt;0")))</f>
        <v/>
      </c>
      <c r="P174" s="27">
        <f>IF(O174="","",SUMIF($N$8:$N$507,"&gt;="&amp;N174)/SUMIF($N$8:$N$507,"&gt;0"))</f>
        <v/>
      </c>
      <c r="Q174" s="28">
        <f>IF(O174="","",IF(SUMIF($N$8:$N$507,"&gt;"&amp;N174)/SUMIF($N$8:$N$507,"&gt;0")&lt;$B$6,"A",IF(SUMIF($N$8:$N$507,"&gt;"&amp;N174)/SUMIF($N$8:$N$507,"&gt;0")&lt;$D$6,"B","C")))</f>
        <v/>
      </c>
      <c r="R174" s="29">
        <f>IF(O174="","",IF(COUNT(B174:M174)&lt;3,"",STDEVP(B174:M174)/AVERAGE(B174:M174)))</f>
        <v/>
      </c>
      <c r="S174" s="28">
        <f>IF(R174="","",IF(R174&lt;=$G$6,"X",IF(R174&lt;=$I$6,"Y","Z")))</f>
        <v/>
      </c>
    </row>
    <row r="175">
      <c r="A175" s="24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6">
        <f>IF(COUNT(B175:M175)=0,"",SUM(B175:M175))</f>
        <v/>
      </c>
      <c r="O175" s="27">
        <f>IF(N175="","",IF(N175&lt;=0,"",N175/SUMIF($N$8:$N$507,"&gt;0")))</f>
        <v/>
      </c>
      <c r="P175" s="27">
        <f>IF(O175="","",SUMIF($N$8:$N$507,"&gt;="&amp;N175)/SUMIF($N$8:$N$507,"&gt;0"))</f>
        <v/>
      </c>
      <c r="Q175" s="28">
        <f>IF(O175="","",IF(SUMIF($N$8:$N$507,"&gt;"&amp;N175)/SUMIF($N$8:$N$507,"&gt;0")&lt;$B$6,"A",IF(SUMIF($N$8:$N$507,"&gt;"&amp;N175)/SUMIF($N$8:$N$507,"&gt;0")&lt;$D$6,"B","C")))</f>
        <v/>
      </c>
      <c r="R175" s="29">
        <f>IF(O175="","",IF(COUNT(B175:M175)&lt;3,"",STDEVP(B175:M175)/AVERAGE(B175:M175)))</f>
        <v/>
      </c>
      <c r="S175" s="28">
        <f>IF(R175="","",IF(R175&lt;=$G$6,"X",IF(R175&lt;=$I$6,"Y","Z")))</f>
        <v/>
      </c>
    </row>
    <row r="176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6">
        <f>IF(COUNT(B176:M176)=0,"",SUM(B176:M176))</f>
        <v/>
      </c>
      <c r="O176" s="27">
        <f>IF(N176="","",IF(N176&lt;=0,"",N176/SUMIF($N$8:$N$507,"&gt;0")))</f>
        <v/>
      </c>
      <c r="P176" s="27">
        <f>IF(O176="","",SUMIF($N$8:$N$507,"&gt;="&amp;N176)/SUMIF($N$8:$N$507,"&gt;0"))</f>
        <v/>
      </c>
      <c r="Q176" s="28">
        <f>IF(O176="","",IF(SUMIF($N$8:$N$507,"&gt;"&amp;N176)/SUMIF($N$8:$N$507,"&gt;0")&lt;$B$6,"A",IF(SUMIF($N$8:$N$507,"&gt;"&amp;N176)/SUMIF($N$8:$N$507,"&gt;0")&lt;$D$6,"B","C")))</f>
        <v/>
      </c>
      <c r="R176" s="29">
        <f>IF(O176="","",IF(COUNT(B176:M176)&lt;3,"",STDEVP(B176:M176)/AVERAGE(B176:M176)))</f>
        <v/>
      </c>
      <c r="S176" s="28">
        <f>IF(R176="","",IF(R176&lt;=$G$6,"X",IF(R176&lt;=$I$6,"Y","Z")))</f>
        <v/>
      </c>
    </row>
    <row r="177">
      <c r="A177" s="24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6">
        <f>IF(COUNT(B177:M177)=0,"",SUM(B177:M177))</f>
        <v/>
      </c>
      <c r="O177" s="27">
        <f>IF(N177="","",IF(N177&lt;=0,"",N177/SUMIF($N$8:$N$507,"&gt;0")))</f>
        <v/>
      </c>
      <c r="P177" s="27">
        <f>IF(O177="","",SUMIF($N$8:$N$507,"&gt;="&amp;N177)/SUMIF($N$8:$N$507,"&gt;0"))</f>
        <v/>
      </c>
      <c r="Q177" s="28">
        <f>IF(O177="","",IF(SUMIF($N$8:$N$507,"&gt;"&amp;N177)/SUMIF($N$8:$N$507,"&gt;0")&lt;$B$6,"A",IF(SUMIF($N$8:$N$507,"&gt;"&amp;N177)/SUMIF($N$8:$N$507,"&gt;0")&lt;$D$6,"B","C")))</f>
        <v/>
      </c>
      <c r="R177" s="29">
        <f>IF(O177="","",IF(COUNT(B177:M177)&lt;3,"",STDEVP(B177:M177)/AVERAGE(B177:M177)))</f>
        <v/>
      </c>
      <c r="S177" s="28">
        <f>IF(R177="","",IF(R177&lt;=$G$6,"X",IF(R177&lt;=$I$6,"Y","Z")))</f>
        <v/>
      </c>
    </row>
    <row r="178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6">
        <f>IF(COUNT(B178:M178)=0,"",SUM(B178:M178))</f>
        <v/>
      </c>
      <c r="O178" s="27">
        <f>IF(N178="","",IF(N178&lt;=0,"",N178/SUMIF($N$8:$N$507,"&gt;0")))</f>
        <v/>
      </c>
      <c r="P178" s="27">
        <f>IF(O178="","",SUMIF($N$8:$N$507,"&gt;="&amp;N178)/SUMIF($N$8:$N$507,"&gt;0"))</f>
        <v/>
      </c>
      <c r="Q178" s="28">
        <f>IF(O178="","",IF(SUMIF($N$8:$N$507,"&gt;"&amp;N178)/SUMIF($N$8:$N$507,"&gt;0")&lt;$B$6,"A",IF(SUMIF($N$8:$N$507,"&gt;"&amp;N178)/SUMIF($N$8:$N$507,"&gt;0")&lt;$D$6,"B","C")))</f>
        <v/>
      </c>
      <c r="R178" s="29">
        <f>IF(O178="","",IF(COUNT(B178:M178)&lt;3,"",STDEVP(B178:M178)/AVERAGE(B178:M178)))</f>
        <v/>
      </c>
      <c r="S178" s="28">
        <f>IF(R178="","",IF(R178&lt;=$G$6,"X",IF(R178&lt;=$I$6,"Y","Z")))</f>
        <v/>
      </c>
    </row>
    <row r="179">
      <c r="A179" s="24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6">
        <f>IF(COUNT(B179:M179)=0,"",SUM(B179:M179))</f>
        <v/>
      </c>
      <c r="O179" s="27">
        <f>IF(N179="","",IF(N179&lt;=0,"",N179/SUMIF($N$8:$N$507,"&gt;0")))</f>
        <v/>
      </c>
      <c r="P179" s="27">
        <f>IF(O179="","",SUMIF($N$8:$N$507,"&gt;="&amp;N179)/SUMIF($N$8:$N$507,"&gt;0"))</f>
        <v/>
      </c>
      <c r="Q179" s="28">
        <f>IF(O179="","",IF(SUMIF($N$8:$N$507,"&gt;"&amp;N179)/SUMIF($N$8:$N$507,"&gt;0")&lt;$B$6,"A",IF(SUMIF($N$8:$N$507,"&gt;"&amp;N179)/SUMIF($N$8:$N$507,"&gt;0")&lt;$D$6,"B","C")))</f>
        <v/>
      </c>
      <c r="R179" s="29">
        <f>IF(O179="","",IF(COUNT(B179:M179)&lt;3,"",STDEVP(B179:M179)/AVERAGE(B179:M179)))</f>
        <v/>
      </c>
      <c r="S179" s="28">
        <f>IF(R179="","",IF(R179&lt;=$G$6,"X",IF(R179&lt;=$I$6,"Y","Z")))</f>
        <v/>
      </c>
    </row>
    <row r="180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6">
        <f>IF(COUNT(B180:M180)=0,"",SUM(B180:M180))</f>
        <v/>
      </c>
      <c r="O180" s="27">
        <f>IF(N180="","",IF(N180&lt;=0,"",N180/SUMIF($N$8:$N$507,"&gt;0")))</f>
        <v/>
      </c>
      <c r="P180" s="27">
        <f>IF(O180="","",SUMIF($N$8:$N$507,"&gt;="&amp;N180)/SUMIF($N$8:$N$507,"&gt;0"))</f>
        <v/>
      </c>
      <c r="Q180" s="28">
        <f>IF(O180="","",IF(SUMIF($N$8:$N$507,"&gt;"&amp;N180)/SUMIF($N$8:$N$507,"&gt;0")&lt;$B$6,"A",IF(SUMIF($N$8:$N$507,"&gt;"&amp;N180)/SUMIF($N$8:$N$507,"&gt;0")&lt;$D$6,"B","C")))</f>
        <v/>
      </c>
      <c r="R180" s="29">
        <f>IF(O180="","",IF(COUNT(B180:M180)&lt;3,"",STDEVP(B180:M180)/AVERAGE(B180:M180)))</f>
        <v/>
      </c>
      <c r="S180" s="28">
        <f>IF(R180="","",IF(R180&lt;=$G$6,"X",IF(R180&lt;=$I$6,"Y","Z")))</f>
        <v/>
      </c>
    </row>
    <row r="181">
      <c r="A181" s="24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6">
        <f>IF(COUNT(B181:M181)=0,"",SUM(B181:M181))</f>
        <v/>
      </c>
      <c r="O181" s="27">
        <f>IF(N181="","",IF(N181&lt;=0,"",N181/SUMIF($N$8:$N$507,"&gt;0")))</f>
        <v/>
      </c>
      <c r="P181" s="27">
        <f>IF(O181="","",SUMIF($N$8:$N$507,"&gt;="&amp;N181)/SUMIF($N$8:$N$507,"&gt;0"))</f>
        <v/>
      </c>
      <c r="Q181" s="28">
        <f>IF(O181="","",IF(SUMIF($N$8:$N$507,"&gt;"&amp;N181)/SUMIF($N$8:$N$507,"&gt;0")&lt;$B$6,"A",IF(SUMIF($N$8:$N$507,"&gt;"&amp;N181)/SUMIF($N$8:$N$507,"&gt;0")&lt;$D$6,"B","C")))</f>
        <v/>
      </c>
      <c r="R181" s="29">
        <f>IF(O181="","",IF(COUNT(B181:M181)&lt;3,"",STDEVP(B181:M181)/AVERAGE(B181:M181)))</f>
        <v/>
      </c>
      <c r="S181" s="28">
        <f>IF(R181="","",IF(R181&lt;=$G$6,"X",IF(R181&lt;=$I$6,"Y","Z")))</f>
        <v/>
      </c>
    </row>
    <row r="18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6">
        <f>IF(COUNT(B182:M182)=0,"",SUM(B182:M182))</f>
        <v/>
      </c>
      <c r="O182" s="27">
        <f>IF(N182="","",IF(N182&lt;=0,"",N182/SUMIF($N$8:$N$507,"&gt;0")))</f>
        <v/>
      </c>
      <c r="P182" s="27">
        <f>IF(O182="","",SUMIF($N$8:$N$507,"&gt;="&amp;N182)/SUMIF($N$8:$N$507,"&gt;0"))</f>
        <v/>
      </c>
      <c r="Q182" s="28">
        <f>IF(O182="","",IF(SUMIF($N$8:$N$507,"&gt;"&amp;N182)/SUMIF($N$8:$N$507,"&gt;0")&lt;$B$6,"A",IF(SUMIF($N$8:$N$507,"&gt;"&amp;N182)/SUMIF($N$8:$N$507,"&gt;0")&lt;$D$6,"B","C")))</f>
        <v/>
      </c>
      <c r="R182" s="29">
        <f>IF(O182="","",IF(COUNT(B182:M182)&lt;3,"",STDEVP(B182:M182)/AVERAGE(B182:M182)))</f>
        <v/>
      </c>
      <c r="S182" s="28">
        <f>IF(R182="","",IF(R182&lt;=$G$6,"X",IF(R182&lt;=$I$6,"Y","Z")))</f>
        <v/>
      </c>
    </row>
    <row r="183">
      <c r="A183" s="24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6">
        <f>IF(COUNT(B183:M183)=0,"",SUM(B183:M183))</f>
        <v/>
      </c>
      <c r="O183" s="27">
        <f>IF(N183="","",IF(N183&lt;=0,"",N183/SUMIF($N$8:$N$507,"&gt;0")))</f>
        <v/>
      </c>
      <c r="P183" s="27">
        <f>IF(O183="","",SUMIF($N$8:$N$507,"&gt;="&amp;N183)/SUMIF($N$8:$N$507,"&gt;0"))</f>
        <v/>
      </c>
      <c r="Q183" s="28">
        <f>IF(O183="","",IF(SUMIF($N$8:$N$507,"&gt;"&amp;N183)/SUMIF($N$8:$N$507,"&gt;0")&lt;$B$6,"A",IF(SUMIF($N$8:$N$507,"&gt;"&amp;N183)/SUMIF($N$8:$N$507,"&gt;0")&lt;$D$6,"B","C")))</f>
        <v/>
      </c>
      <c r="R183" s="29">
        <f>IF(O183="","",IF(COUNT(B183:M183)&lt;3,"",STDEVP(B183:M183)/AVERAGE(B183:M183)))</f>
        <v/>
      </c>
      <c r="S183" s="28">
        <f>IF(R183="","",IF(R183&lt;=$G$6,"X",IF(R183&lt;=$I$6,"Y","Z")))</f>
        <v/>
      </c>
    </row>
    <row r="184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6">
        <f>IF(COUNT(B184:M184)=0,"",SUM(B184:M184))</f>
        <v/>
      </c>
      <c r="O184" s="27">
        <f>IF(N184="","",IF(N184&lt;=0,"",N184/SUMIF($N$8:$N$507,"&gt;0")))</f>
        <v/>
      </c>
      <c r="P184" s="27">
        <f>IF(O184="","",SUMIF($N$8:$N$507,"&gt;="&amp;N184)/SUMIF($N$8:$N$507,"&gt;0"))</f>
        <v/>
      </c>
      <c r="Q184" s="28">
        <f>IF(O184="","",IF(SUMIF($N$8:$N$507,"&gt;"&amp;N184)/SUMIF($N$8:$N$507,"&gt;0")&lt;$B$6,"A",IF(SUMIF($N$8:$N$507,"&gt;"&amp;N184)/SUMIF($N$8:$N$507,"&gt;0")&lt;$D$6,"B","C")))</f>
        <v/>
      </c>
      <c r="R184" s="29">
        <f>IF(O184="","",IF(COUNT(B184:M184)&lt;3,"",STDEVP(B184:M184)/AVERAGE(B184:M184)))</f>
        <v/>
      </c>
      <c r="S184" s="28">
        <f>IF(R184="","",IF(R184&lt;=$G$6,"X",IF(R184&lt;=$I$6,"Y","Z")))</f>
        <v/>
      </c>
    </row>
    <row r="185">
      <c r="A185" s="24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6">
        <f>IF(COUNT(B185:M185)=0,"",SUM(B185:M185))</f>
        <v/>
      </c>
      <c r="O185" s="27">
        <f>IF(N185="","",IF(N185&lt;=0,"",N185/SUMIF($N$8:$N$507,"&gt;0")))</f>
        <v/>
      </c>
      <c r="P185" s="27">
        <f>IF(O185="","",SUMIF($N$8:$N$507,"&gt;="&amp;N185)/SUMIF($N$8:$N$507,"&gt;0"))</f>
        <v/>
      </c>
      <c r="Q185" s="28">
        <f>IF(O185="","",IF(SUMIF($N$8:$N$507,"&gt;"&amp;N185)/SUMIF($N$8:$N$507,"&gt;0")&lt;$B$6,"A",IF(SUMIF($N$8:$N$507,"&gt;"&amp;N185)/SUMIF($N$8:$N$507,"&gt;0")&lt;$D$6,"B","C")))</f>
        <v/>
      </c>
      <c r="R185" s="29">
        <f>IF(O185="","",IF(COUNT(B185:M185)&lt;3,"",STDEVP(B185:M185)/AVERAGE(B185:M185)))</f>
        <v/>
      </c>
      <c r="S185" s="28">
        <f>IF(R185="","",IF(R185&lt;=$G$6,"X",IF(R185&lt;=$I$6,"Y","Z")))</f>
        <v/>
      </c>
    </row>
    <row r="186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6">
        <f>IF(COUNT(B186:M186)=0,"",SUM(B186:M186))</f>
        <v/>
      </c>
      <c r="O186" s="27">
        <f>IF(N186="","",IF(N186&lt;=0,"",N186/SUMIF($N$8:$N$507,"&gt;0")))</f>
        <v/>
      </c>
      <c r="P186" s="27">
        <f>IF(O186="","",SUMIF($N$8:$N$507,"&gt;="&amp;N186)/SUMIF($N$8:$N$507,"&gt;0"))</f>
        <v/>
      </c>
      <c r="Q186" s="28">
        <f>IF(O186="","",IF(SUMIF($N$8:$N$507,"&gt;"&amp;N186)/SUMIF($N$8:$N$507,"&gt;0")&lt;$B$6,"A",IF(SUMIF($N$8:$N$507,"&gt;"&amp;N186)/SUMIF($N$8:$N$507,"&gt;0")&lt;$D$6,"B","C")))</f>
        <v/>
      </c>
      <c r="R186" s="29">
        <f>IF(O186="","",IF(COUNT(B186:M186)&lt;3,"",STDEVP(B186:M186)/AVERAGE(B186:M186)))</f>
        <v/>
      </c>
      <c r="S186" s="28">
        <f>IF(R186="","",IF(R186&lt;=$G$6,"X",IF(R186&lt;=$I$6,"Y","Z")))</f>
        <v/>
      </c>
    </row>
    <row r="187">
      <c r="A187" s="24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6">
        <f>IF(COUNT(B187:M187)=0,"",SUM(B187:M187))</f>
        <v/>
      </c>
      <c r="O187" s="27">
        <f>IF(N187="","",IF(N187&lt;=0,"",N187/SUMIF($N$8:$N$507,"&gt;0")))</f>
        <v/>
      </c>
      <c r="P187" s="27">
        <f>IF(O187="","",SUMIF($N$8:$N$507,"&gt;="&amp;N187)/SUMIF($N$8:$N$507,"&gt;0"))</f>
        <v/>
      </c>
      <c r="Q187" s="28">
        <f>IF(O187="","",IF(SUMIF($N$8:$N$507,"&gt;"&amp;N187)/SUMIF($N$8:$N$507,"&gt;0")&lt;$B$6,"A",IF(SUMIF($N$8:$N$507,"&gt;"&amp;N187)/SUMIF($N$8:$N$507,"&gt;0")&lt;$D$6,"B","C")))</f>
        <v/>
      </c>
      <c r="R187" s="29">
        <f>IF(O187="","",IF(COUNT(B187:M187)&lt;3,"",STDEVP(B187:M187)/AVERAGE(B187:M187)))</f>
        <v/>
      </c>
      <c r="S187" s="28">
        <f>IF(R187="","",IF(R187&lt;=$G$6,"X",IF(R187&lt;=$I$6,"Y","Z")))</f>
        <v/>
      </c>
    </row>
    <row r="188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6">
        <f>IF(COUNT(B188:M188)=0,"",SUM(B188:M188))</f>
        <v/>
      </c>
      <c r="O188" s="27">
        <f>IF(N188="","",IF(N188&lt;=0,"",N188/SUMIF($N$8:$N$507,"&gt;0")))</f>
        <v/>
      </c>
      <c r="P188" s="27">
        <f>IF(O188="","",SUMIF($N$8:$N$507,"&gt;="&amp;N188)/SUMIF($N$8:$N$507,"&gt;0"))</f>
        <v/>
      </c>
      <c r="Q188" s="28">
        <f>IF(O188="","",IF(SUMIF($N$8:$N$507,"&gt;"&amp;N188)/SUMIF($N$8:$N$507,"&gt;0")&lt;$B$6,"A",IF(SUMIF($N$8:$N$507,"&gt;"&amp;N188)/SUMIF($N$8:$N$507,"&gt;0")&lt;$D$6,"B","C")))</f>
        <v/>
      </c>
      <c r="R188" s="29">
        <f>IF(O188="","",IF(COUNT(B188:M188)&lt;3,"",STDEVP(B188:M188)/AVERAGE(B188:M188)))</f>
        <v/>
      </c>
      <c r="S188" s="28">
        <f>IF(R188="","",IF(R188&lt;=$G$6,"X",IF(R188&lt;=$I$6,"Y","Z")))</f>
        <v/>
      </c>
    </row>
    <row r="189">
      <c r="A189" s="24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6">
        <f>IF(COUNT(B189:M189)=0,"",SUM(B189:M189))</f>
        <v/>
      </c>
      <c r="O189" s="27">
        <f>IF(N189="","",IF(N189&lt;=0,"",N189/SUMIF($N$8:$N$507,"&gt;0")))</f>
        <v/>
      </c>
      <c r="P189" s="27">
        <f>IF(O189="","",SUMIF($N$8:$N$507,"&gt;="&amp;N189)/SUMIF($N$8:$N$507,"&gt;0"))</f>
        <v/>
      </c>
      <c r="Q189" s="28">
        <f>IF(O189="","",IF(SUMIF($N$8:$N$507,"&gt;"&amp;N189)/SUMIF($N$8:$N$507,"&gt;0")&lt;$B$6,"A",IF(SUMIF($N$8:$N$507,"&gt;"&amp;N189)/SUMIF($N$8:$N$507,"&gt;0")&lt;$D$6,"B","C")))</f>
        <v/>
      </c>
      <c r="R189" s="29">
        <f>IF(O189="","",IF(COUNT(B189:M189)&lt;3,"",STDEVP(B189:M189)/AVERAGE(B189:M189)))</f>
        <v/>
      </c>
      <c r="S189" s="28">
        <f>IF(R189="","",IF(R189&lt;=$G$6,"X",IF(R189&lt;=$I$6,"Y","Z")))</f>
        <v/>
      </c>
    </row>
    <row r="190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6">
        <f>IF(COUNT(B190:M190)=0,"",SUM(B190:M190))</f>
        <v/>
      </c>
      <c r="O190" s="27">
        <f>IF(N190="","",IF(N190&lt;=0,"",N190/SUMIF($N$8:$N$507,"&gt;0")))</f>
        <v/>
      </c>
      <c r="P190" s="27">
        <f>IF(O190="","",SUMIF($N$8:$N$507,"&gt;="&amp;N190)/SUMIF($N$8:$N$507,"&gt;0"))</f>
        <v/>
      </c>
      <c r="Q190" s="28">
        <f>IF(O190="","",IF(SUMIF($N$8:$N$507,"&gt;"&amp;N190)/SUMIF($N$8:$N$507,"&gt;0")&lt;$B$6,"A",IF(SUMIF($N$8:$N$507,"&gt;"&amp;N190)/SUMIF($N$8:$N$507,"&gt;0")&lt;$D$6,"B","C")))</f>
        <v/>
      </c>
      <c r="R190" s="29">
        <f>IF(O190="","",IF(COUNT(B190:M190)&lt;3,"",STDEVP(B190:M190)/AVERAGE(B190:M190)))</f>
        <v/>
      </c>
      <c r="S190" s="28">
        <f>IF(R190="","",IF(R190&lt;=$G$6,"X",IF(R190&lt;=$I$6,"Y","Z")))</f>
        <v/>
      </c>
    </row>
    <row r="191">
      <c r="A191" s="24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6">
        <f>IF(COUNT(B191:M191)=0,"",SUM(B191:M191))</f>
        <v/>
      </c>
      <c r="O191" s="27">
        <f>IF(N191="","",IF(N191&lt;=0,"",N191/SUMIF($N$8:$N$507,"&gt;0")))</f>
        <v/>
      </c>
      <c r="P191" s="27">
        <f>IF(O191="","",SUMIF($N$8:$N$507,"&gt;="&amp;N191)/SUMIF($N$8:$N$507,"&gt;0"))</f>
        <v/>
      </c>
      <c r="Q191" s="28">
        <f>IF(O191="","",IF(SUMIF($N$8:$N$507,"&gt;"&amp;N191)/SUMIF($N$8:$N$507,"&gt;0")&lt;$B$6,"A",IF(SUMIF($N$8:$N$507,"&gt;"&amp;N191)/SUMIF($N$8:$N$507,"&gt;0")&lt;$D$6,"B","C")))</f>
        <v/>
      </c>
      <c r="R191" s="29">
        <f>IF(O191="","",IF(COUNT(B191:M191)&lt;3,"",STDEVP(B191:M191)/AVERAGE(B191:M191)))</f>
        <v/>
      </c>
      <c r="S191" s="28">
        <f>IF(R191="","",IF(R191&lt;=$G$6,"X",IF(R191&lt;=$I$6,"Y","Z")))</f>
        <v/>
      </c>
    </row>
    <row r="19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6">
        <f>IF(COUNT(B192:M192)=0,"",SUM(B192:M192))</f>
        <v/>
      </c>
      <c r="O192" s="27">
        <f>IF(N192="","",IF(N192&lt;=0,"",N192/SUMIF($N$8:$N$507,"&gt;0")))</f>
        <v/>
      </c>
      <c r="P192" s="27">
        <f>IF(O192="","",SUMIF($N$8:$N$507,"&gt;="&amp;N192)/SUMIF($N$8:$N$507,"&gt;0"))</f>
        <v/>
      </c>
      <c r="Q192" s="28">
        <f>IF(O192="","",IF(SUMIF($N$8:$N$507,"&gt;"&amp;N192)/SUMIF($N$8:$N$507,"&gt;0")&lt;$B$6,"A",IF(SUMIF($N$8:$N$507,"&gt;"&amp;N192)/SUMIF($N$8:$N$507,"&gt;0")&lt;$D$6,"B","C")))</f>
        <v/>
      </c>
      <c r="R192" s="29">
        <f>IF(O192="","",IF(COUNT(B192:M192)&lt;3,"",STDEVP(B192:M192)/AVERAGE(B192:M192)))</f>
        <v/>
      </c>
      <c r="S192" s="28">
        <f>IF(R192="","",IF(R192&lt;=$G$6,"X",IF(R192&lt;=$I$6,"Y","Z")))</f>
        <v/>
      </c>
    </row>
    <row r="193">
      <c r="A193" s="24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6">
        <f>IF(COUNT(B193:M193)=0,"",SUM(B193:M193))</f>
        <v/>
      </c>
      <c r="O193" s="27">
        <f>IF(N193="","",IF(N193&lt;=0,"",N193/SUMIF($N$8:$N$507,"&gt;0")))</f>
        <v/>
      </c>
      <c r="P193" s="27">
        <f>IF(O193="","",SUMIF($N$8:$N$507,"&gt;="&amp;N193)/SUMIF($N$8:$N$507,"&gt;0"))</f>
        <v/>
      </c>
      <c r="Q193" s="28">
        <f>IF(O193="","",IF(SUMIF($N$8:$N$507,"&gt;"&amp;N193)/SUMIF($N$8:$N$507,"&gt;0")&lt;$B$6,"A",IF(SUMIF($N$8:$N$507,"&gt;"&amp;N193)/SUMIF($N$8:$N$507,"&gt;0")&lt;$D$6,"B","C")))</f>
        <v/>
      </c>
      <c r="R193" s="29">
        <f>IF(O193="","",IF(COUNT(B193:M193)&lt;3,"",STDEVP(B193:M193)/AVERAGE(B193:M193)))</f>
        <v/>
      </c>
      <c r="S193" s="28">
        <f>IF(R193="","",IF(R193&lt;=$G$6,"X",IF(R193&lt;=$I$6,"Y","Z")))</f>
        <v/>
      </c>
    </row>
    <row r="194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6">
        <f>IF(COUNT(B194:M194)=0,"",SUM(B194:M194))</f>
        <v/>
      </c>
      <c r="O194" s="27">
        <f>IF(N194="","",IF(N194&lt;=0,"",N194/SUMIF($N$8:$N$507,"&gt;0")))</f>
        <v/>
      </c>
      <c r="P194" s="27">
        <f>IF(O194="","",SUMIF($N$8:$N$507,"&gt;="&amp;N194)/SUMIF($N$8:$N$507,"&gt;0"))</f>
        <v/>
      </c>
      <c r="Q194" s="28">
        <f>IF(O194="","",IF(SUMIF($N$8:$N$507,"&gt;"&amp;N194)/SUMIF($N$8:$N$507,"&gt;0")&lt;$B$6,"A",IF(SUMIF($N$8:$N$507,"&gt;"&amp;N194)/SUMIF($N$8:$N$507,"&gt;0")&lt;$D$6,"B","C")))</f>
        <v/>
      </c>
      <c r="R194" s="29">
        <f>IF(O194="","",IF(COUNT(B194:M194)&lt;3,"",STDEVP(B194:M194)/AVERAGE(B194:M194)))</f>
        <v/>
      </c>
      <c r="S194" s="28">
        <f>IF(R194="","",IF(R194&lt;=$G$6,"X",IF(R194&lt;=$I$6,"Y","Z")))</f>
        <v/>
      </c>
    </row>
    <row r="195">
      <c r="A195" s="24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6">
        <f>IF(COUNT(B195:M195)=0,"",SUM(B195:M195))</f>
        <v/>
      </c>
      <c r="O195" s="27">
        <f>IF(N195="","",IF(N195&lt;=0,"",N195/SUMIF($N$8:$N$507,"&gt;0")))</f>
        <v/>
      </c>
      <c r="P195" s="27">
        <f>IF(O195="","",SUMIF($N$8:$N$507,"&gt;="&amp;N195)/SUMIF($N$8:$N$507,"&gt;0"))</f>
        <v/>
      </c>
      <c r="Q195" s="28">
        <f>IF(O195="","",IF(SUMIF($N$8:$N$507,"&gt;"&amp;N195)/SUMIF($N$8:$N$507,"&gt;0")&lt;$B$6,"A",IF(SUMIF($N$8:$N$507,"&gt;"&amp;N195)/SUMIF($N$8:$N$507,"&gt;0")&lt;$D$6,"B","C")))</f>
        <v/>
      </c>
      <c r="R195" s="29">
        <f>IF(O195="","",IF(COUNT(B195:M195)&lt;3,"",STDEVP(B195:M195)/AVERAGE(B195:M195)))</f>
        <v/>
      </c>
      <c r="S195" s="28">
        <f>IF(R195="","",IF(R195&lt;=$G$6,"X",IF(R195&lt;=$I$6,"Y","Z")))</f>
        <v/>
      </c>
    </row>
    <row r="196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6">
        <f>IF(COUNT(B196:M196)=0,"",SUM(B196:M196))</f>
        <v/>
      </c>
      <c r="O196" s="27">
        <f>IF(N196="","",IF(N196&lt;=0,"",N196/SUMIF($N$8:$N$507,"&gt;0")))</f>
        <v/>
      </c>
      <c r="P196" s="27">
        <f>IF(O196="","",SUMIF($N$8:$N$507,"&gt;="&amp;N196)/SUMIF($N$8:$N$507,"&gt;0"))</f>
        <v/>
      </c>
      <c r="Q196" s="28">
        <f>IF(O196="","",IF(SUMIF($N$8:$N$507,"&gt;"&amp;N196)/SUMIF($N$8:$N$507,"&gt;0")&lt;$B$6,"A",IF(SUMIF($N$8:$N$507,"&gt;"&amp;N196)/SUMIF($N$8:$N$507,"&gt;0")&lt;$D$6,"B","C")))</f>
        <v/>
      </c>
      <c r="R196" s="29">
        <f>IF(O196="","",IF(COUNT(B196:M196)&lt;3,"",STDEVP(B196:M196)/AVERAGE(B196:M196)))</f>
        <v/>
      </c>
      <c r="S196" s="28">
        <f>IF(R196="","",IF(R196&lt;=$G$6,"X",IF(R196&lt;=$I$6,"Y","Z")))</f>
        <v/>
      </c>
    </row>
    <row r="197">
      <c r="A197" s="24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6">
        <f>IF(COUNT(B197:M197)=0,"",SUM(B197:M197))</f>
        <v/>
      </c>
      <c r="O197" s="27">
        <f>IF(N197="","",IF(N197&lt;=0,"",N197/SUMIF($N$8:$N$507,"&gt;0")))</f>
        <v/>
      </c>
      <c r="P197" s="27">
        <f>IF(O197="","",SUMIF($N$8:$N$507,"&gt;="&amp;N197)/SUMIF($N$8:$N$507,"&gt;0"))</f>
        <v/>
      </c>
      <c r="Q197" s="28">
        <f>IF(O197="","",IF(SUMIF($N$8:$N$507,"&gt;"&amp;N197)/SUMIF($N$8:$N$507,"&gt;0")&lt;$B$6,"A",IF(SUMIF($N$8:$N$507,"&gt;"&amp;N197)/SUMIF($N$8:$N$507,"&gt;0")&lt;$D$6,"B","C")))</f>
        <v/>
      </c>
      <c r="R197" s="29">
        <f>IF(O197="","",IF(COUNT(B197:M197)&lt;3,"",STDEVP(B197:M197)/AVERAGE(B197:M197)))</f>
        <v/>
      </c>
      <c r="S197" s="28">
        <f>IF(R197="","",IF(R197&lt;=$G$6,"X",IF(R197&lt;=$I$6,"Y","Z")))</f>
        <v/>
      </c>
    </row>
    <row r="198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6">
        <f>IF(COUNT(B198:M198)=0,"",SUM(B198:M198))</f>
        <v/>
      </c>
      <c r="O198" s="27">
        <f>IF(N198="","",IF(N198&lt;=0,"",N198/SUMIF($N$8:$N$507,"&gt;0")))</f>
        <v/>
      </c>
      <c r="P198" s="27">
        <f>IF(O198="","",SUMIF($N$8:$N$507,"&gt;="&amp;N198)/SUMIF($N$8:$N$507,"&gt;0"))</f>
        <v/>
      </c>
      <c r="Q198" s="28">
        <f>IF(O198="","",IF(SUMIF($N$8:$N$507,"&gt;"&amp;N198)/SUMIF($N$8:$N$507,"&gt;0")&lt;$B$6,"A",IF(SUMIF($N$8:$N$507,"&gt;"&amp;N198)/SUMIF($N$8:$N$507,"&gt;0")&lt;$D$6,"B","C")))</f>
        <v/>
      </c>
      <c r="R198" s="29">
        <f>IF(O198="","",IF(COUNT(B198:M198)&lt;3,"",STDEVP(B198:M198)/AVERAGE(B198:M198)))</f>
        <v/>
      </c>
      <c r="S198" s="28">
        <f>IF(R198="","",IF(R198&lt;=$G$6,"X",IF(R198&lt;=$I$6,"Y","Z")))</f>
        <v/>
      </c>
    </row>
    <row r="199">
      <c r="A199" s="24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6">
        <f>IF(COUNT(B199:M199)=0,"",SUM(B199:M199))</f>
        <v/>
      </c>
      <c r="O199" s="27">
        <f>IF(N199="","",IF(N199&lt;=0,"",N199/SUMIF($N$8:$N$507,"&gt;0")))</f>
        <v/>
      </c>
      <c r="P199" s="27">
        <f>IF(O199="","",SUMIF($N$8:$N$507,"&gt;="&amp;N199)/SUMIF($N$8:$N$507,"&gt;0"))</f>
        <v/>
      </c>
      <c r="Q199" s="28">
        <f>IF(O199="","",IF(SUMIF($N$8:$N$507,"&gt;"&amp;N199)/SUMIF($N$8:$N$507,"&gt;0")&lt;$B$6,"A",IF(SUMIF($N$8:$N$507,"&gt;"&amp;N199)/SUMIF($N$8:$N$507,"&gt;0")&lt;$D$6,"B","C")))</f>
        <v/>
      </c>
      <c r="R199" s="29">
        <f>IF(O199="","",IF(COUNT(B199:M199)&lt;3,"",STDEVP(B199:M199)/AVERAGE(B199:M199)))</f>
        <v/>
      </c>
      <c r="S199" s="28">
        <f>IF(R199="","",IF(R199&lt;=$G$6,"X",IF(R199&lt;=$I$6,"Y","Z")))</f>
        <v/>
      </c>
    </row>
    <row r="200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6">
        <f>IF(COUNT(B200:M200)=0,"",SUM(B200:M200))</f>
        <v/>
      </c>
      <c r="O200" s="27">
        <f>IF(N200="","",IF(N200&lt;=0,"",N200/SUMIF($N$8:$N$507,"&gt;0")))</f>
        <v/>
      </c>
      <c r="P200" s="27">
        <f>IF(O200="","",SUMIF($N$8:$N$507,"&gt;="&amp;N200)/SUMIF($N$8:$N$507,"&gt;0"))</f>
        <v/>
      </c>
      <c r="Q200" s="28">
        <f>IF(O200="","",IF(SUMIF($N$8:$N$507,"&gt;"&amp;N200)/SUMIF($N$8:$N$507,"&gt;0")&lt;$B$6,"A",IF(SUMIF($N$8:$N$507,"&gt;"&amp;N200)/SUMIF($N$8:$N$507,"&gt;0")&lt;$D$6,"B","C")))</f>
        <v/>
      </c>
      <c r="R200" s="29">
        <f>IF(O200="","",IF(COUNT(B200:M200)&lt;3,"",STDEVP(B200:M200)/AVERAGE(B200:M200)))</f>
        <v/>
      </c>
      <c r="S200" s="28">
        <f>IF(R200="","",IF(R200&lt;=$G$6,"X",IF(R200&lt;=$I$6,"Y","Z")))</f>
        <v/>
      </c>
    </row>
    <row r="201">
      <c r="A201" s="24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6">
        <f>IF(COUNT(B201:M201)=0,"",SUM(B201:M201))</f>
        <v/>
      </c>
      <c r="O201" s="27">
        <f>IF(N201="","",IF(N201&lt;=0,"",N201/SUMIF($N$8:$N$507,"&gt;0")))</f>
        <v/>
      </c>
      <c r="P201" s="27">
        <f>IF(O201="","",SUMIF($N$8:$N$507,"&gt;="&amp;N201)/SUMIF($N$8:$N$507,"&gt;0"))</f>
        <v/>
      </c>
      <c r="Q201" s="28">
        <f>IF(O201="","",IF(SUMIF($N$8:$N$507,"&gt;"&amp;N201)/SUMIF($N$8:$N$507,"&gt;0")&lt;$B$6,"A",IF(SUMIF($N$8:$N$507,"&gt;"&amp;N201)/SUMIF($N$8:$N$507,"&gt;0")&lt;$D$6,"B","C")))</f>
        <v/>
      </c>
      <c r="R201" s="29">
        <f>IF(O201="","",IF(COUNT(B201:M201)&lt;3,"",STDEVP(B201:M201)/AVERAGE(B201:M201)))</f>
        <v/>
      </c>
      <c r="S201" s="28">
        <f>IF(R201="","",IF(R201&lt;=$G$6,"X",IF(R201&lt;=$I$6,"Y","Z")))</f>
        <v/>
      </c>
    </row>
    <row r="20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6">
        <f>IF(COUNT(B202:M202)=0,"",SUM(B202:M202))</f>
        <v/>
      </c>
      <c r="O202" s="27">
        <f>IF(N202="","",IF(N202&lt;=0,"",N202/SUMIF($N$8:$N$507,"&gt;0")))</f>
        <v/>
      </c>
      <c r="P202" s="27">
        <f>IF(O202="","",SUMIF($N$8:$N$507,"&gt;="&amp;N202)/SUMIF($N$8:$N$507,"&gt;0"))</f>
        <v/>
      </c>
      <c r="Q202" s="28">
        <f>IF(O202="","",IF(SUMIF($N$8:$N$507,"&gt;"&amp;N202)/SUMIF($N$8:$N$507,"&gt;0")&lt;$B$6,"A",IF(SUMIF($N$8:$N$507,"&gt;"&amp;N202)/SUMIF($N$8:$N$507,"&gt;0")&lt;$D$6,"B","C")))</f>
        <v/>
      </c>
      <c r="R202" s="29">
        <f>IF(O202="","",IF(COUNT(B202:M202)&lt;3,"",STDEVP(B202:M202)/AVERAGE(B202:M202)))</f>
        <v/>
      </c>
      <c r="S202" s="28">
        <f>IF(R202="","",IF(R202&lt;=$G$6,"X",IF(R202&lt;=$I$6,"Y","Z")))</f>
        <v/>
      </c>
    </row>
    <row r="203">
      <c r="A203" s="24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6">
        <f>IF(COUNT(B203:M203)=0,"",SUM(B203:M203))</f>
        <v/>
      </c>
      <c r="O203" s="27">
        <f>IF(N203="","",IF(N203&lt;=0,"",N203/SUMIF($N$8:$N$507,"&gt;0")))</f>
        <v/>
      </c>
      <c r="P203" s="27">
        <f>IF(O203="","",SUMIF($N$8:$N$507,"&gt;="&amp;N203)/SUMIF($N$8:$N$507,"&gt;0"))</f>
        <v/>
      </c>
      <c r="Q203" s="28">
        <f>IF(O203="","",IF(SUMIF($N$8:$N$507,"&gt;"&amp;N203)/SUMIF($N$8:$N$507,"&gt;0")&lt;$B$6,"A",IF(SUMIF($N$8:$N$507,"&gt;"&amp;N203)/SUMIF($N$8:$N$507,"&gt;0")&lt;$D$6,"B","C")))</f>
        <v/>
      </c>
      <c r="R203" s="29">
        <f>IF(O203="","",IF(COUNT(B203:M203)&lt;3,"",STDEVP(B203:M203)/AVERAGE(B203:M203)))</f>
        <v/>
      </c>
      <c r="S203" s="28">
        <f>IF(R203="","",IF(R203&lt;=$G$6,"X",IF(R203&lt;=$I$6,"Y","Z")))</f>
        <v/>
      </c>
    </row>
    <row r="204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6">
        <f>IF(COUNT(B204:M204)=0,"",SUM(B204:M204))</f>
        <v/>
      </c>
      <c r="O204" s="27">
        <f>IF(N204="","",IF(N204&lt;=0,"",N204/SUMIF($N$8:$N$507,"&gt;0")))</f>
        <v/>
      </c>
      <c r="P204" s="27">
        <f>IF(O204="","",SUMIF($N$8:$N$507,"&gt;="&amp;N204)/SUMIF($N$8:$N$507,"&gt;0"))</f>
        <v/>
      </c>
      <c r="Q204" s="28">
        <f>IF(O204="","",IF(SUMIF($N$8:$N$507,"&gt;"&amp;N204)/SUMIF($N$8:$N$507,"&gt;0")&lt;$B$6,"A",IF(SUMIF($N$8:$N$507,"&gt;"&amp;N204)/SUMIF($N$8:$N$507,"&gt;0")&lt;$D$6,"B","C")))</f>
        <v/>
      </c>
      <c r="R204" s="29">
        <f>IF(O204="","",IF(COUNT(B204:M204)&lt;3,"",STDEVP(B204:M204)/AVERAGE(B204:M204)))</f>
        <v/>
      </c>
      <c r="S204" s="28">
        <f>IF(R204="","",IF(R204&lt;=$G$6,"X",IF(R204&lt;=$I$6,"Y","Z")))</f>
        <v/>
      </c>
    </row>
    <row r="205">
      <c r="A205" s="24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6">
        <f>IF(COUNT(B205:M205)=0,"",SUM(B205:M205))</f>
        <v/>
      </c>
      <c r="O205" s="27">
        <f>IF(N205="","",IF(N205&lt;=0,"",N205/SUMIF($N$8:$N$507,"&gt;0")))</f>
        <v/>
      </c>
      <c r="P205" s="27">
        <f>IF(O205="","",SUMIF($N$8:$N$507,"&gt;="&amp;N205)/SUMIF($N$8:$N$507,"&gt;0"))</f>
        <v/>
      </c>
      <c r="Q205" s="28">
        <f>IF(O205="","",IF(SUMIF($N$8:$N$507,"&gt;"&amp;N205)/SUMIF($N$8:$N$507,"&gt;0")&lt;$B$6,"A",IF(SUMIF($N$8:$N$507,"&gt;"&amp;N205)/SUMIF($N$8:$N$507,"&gt;0")&lt;$D$6,"B","C")))</f>
        <v/>
      </c>
      <c r="R205" s="29">
        <f>IF(O205="","",IF(COUNT(B205:M205)&lt;3,"",STDEVP(B205:M205)/AVERAGE(B205:M205)))</f>
        <v/>
      </c>
      <c r="S205" s="28">
        <f>IF(R205="","",IF(R205&lt;=$G$6,"X",IF(R205&lt;=$I$6,"Y","Z")))</f>
        <v/>
      </c>
    </row>
    <row r="206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6">
        <f>IF(COUNT(B206:M206)=0,"",SUM(B206:M206))</f>
        <v/>
      </c>
      <c r="O206" s="27">
        <f>IF(N206="","",IF(N206&lt;=0,"",N206/SUMIF($N$8:$N$507,"&gt;0")))</f>
        <v/>
      </c>
      <c r="P206" s="27">
        <f>IF(O206="","",SUMIF($N$8:$N$507,"&gt;="&amp;N206)/SUMIF($N$8:$N$507,"&gt;0"))</f>
        <v/>
      </c>
      <c r="Q206" s="28">
        <f>IF(O206="","",IF(SUMIF($N$8:$N$507,"&gt;"&amp;N206)/SUMIF($N$8:$N$507,"&gt;0")&lt;$B$6,"A",IF(SUMIF($N$8:$N$507,"&gt;"&amp;N206)/SUMIF($N$8:$N$507,"&gt;0")&lt;$D$6,"B","C")))</f>
        <v/>
      </c>
      <c r="R206" s="29">
        <f>IF(O206="","",IF(COUNT(B206:M206)&lt;3,"",STDEVP(B206:M206)/AVERAGE(B206:M206)))</f>
        <v/>
      </c>
      <c r="S206" s="28">
        <f>IF(R206="","",IF(R206&lt;=$G$6,"X",IF(R206&lt;=$I$6,"Y","Z")))</f>
        <v/>
      </c>
    </row>
    <row r="207">
      <c r="A207" s="24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6">
        <f>IF(COUNT(B207:M207)=0,"",SUM(B207:M207))</f>
        <v/>
      </c>
      <c r="O207" s="27">
        <f>IF(N207="","",IF(N207&lt;=0,"",N207/SUMIF($N$8:$N$507,"&gt;0")))</f>
        <v/>
      </c>
      <c r="P207" s="27">
        <f>IF(O207="","",SUMIF($N$8:$N$507,"&gt;="&amp;N207)/SUMIF($N$8:$N$507,"&gt;0"))</f>
        <v/>
      </c>
      <c r="Q207" s="28">
        <f>IF(O207="","",IF(SUMIF($N$8:$N$507,"&gt;"&amp;N207)/SUMIF($N$8:$N$507,"&gt;0")&lt;$B$6,"A",IF(SUMIF($N$8:$N$507,"&gt;"&amp;N207)/SUMIF($N$8:$N$507,"&gt;0")&lt;$D$6,"B","C")))</f>
        <v/>
      </c>
      <c r="R207" s="29">
        <f>IF(O207="","",IF(COUNT(B207:M207)&lt;3,"",STDEVP(B207:M207)/AVERAGE(B207:M207)))</f>
        <v/>
      </c>
      <c r="S207" s="28">
        <f>IF(R207="","",IF(R207&lt;=$G$6,"X",IF(R207&lt;=$I$6,"Y","Z")))</f>
        <v/>
      </c>
    </row>
    <row r="208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6">
        <f>IF(COUNT(B208:M208)=0,"",SUM(B208:M208))</f>
        <v/>
      </c>
      <c r="O208" s="27">
        <f>IF(N208="","",IF(N208&lt;=0,"",N208/SUMIF($N$8:$N$507,"&gt;0")))</f>
        <v/>
      </c>
      <c r="P208" s="27">
        <f>IF(O208="","",SUMIF($N$8:$N$507,"&gt;="&amp;N208)/SUMIF($N$8:$N$507,"&gt;0"))</f>
        <v/>
      </c>
      <c r="Q208" s="28">
        <f>IF(O208="","",IF(SUMIF($N$8:$N$507,"&gt;"&amp;N208)/SUMIF($N$8:$N$507,"&gt;0")&lt;$B$6,"A",IF(SUMIF($N$8:$N$507,"&gt;"&amp;N208)/SUMIF($N$8:$N$507,"&gt;0")&lt;$D$6,"B","C")))</f>
        <v/>
      </c>
      <c r="R208" s="29">
        <f>IF(O208="","",IF(COUNT(B208:M208)&lt;3,"",STDEVP(B208:M208)/AVERAGE(B208:M208)))</f>
        <v/>
      </c>
      <c r="S208" s="28">
        <f>IF(R208="","",IF(R208&lt;=$G$6,"X",IF(R208&lt;=$I$6,"Y","Z")))</f>
        <v/>
      </c>
    </row>
    <row r="209">
      <c r="A209" s="24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6">
        <f>IF(COUNT(B209:M209)=0,"",SUM(B209:M209))</f>
        <v/>
      </c>
      <c r="O209" s="27">
        <f>IF(N209="","",IF(N209&lt;=0,"",N209/SUMIF($N$8:$N$507,"&gt;0")))</f>
        <v/>
      </c>
      <c r="P209" s="27">
        <f>IF(O209="","",SUMIF($N$8:$N$507,"&gt;="&amp;N209)/SUMIF($N$8:$N$507,"&gt;0"))</f>
        <v/>
      </c>
      <c r="Q209" s="28">
        <f>IF(O209="","",IF(SUMIF($N$8:$N$507,"&gt;"&amp;N209)/SUMIF($N$8:$N$507,"&gt;0")&lt;$B$6,"A",IF(SUMIF($N$8:$N$507,"&gt;"&amp;N209)/SUMIF($N$8:$N$507,"&gt;0")&lt;$D$6,"B","C")))</f>
        <v/>
      </c>
      <c r="R209" s="29">
        <f>IF(O209="","",IF(COUNT(B209:M209)&lt;3,"",STDEVP(B209:M209)/AVERAGE(B209:M209)))</f>
        <v/>
      </c>
      <c r="S209" s="28">
        <f>IF(R209="","",IF(R209&lt;=$G$6,"X",IF(R209&lt;=$I$6,"Y","Z")))</f>
        <v/>
      </c>
    </row>
    <row r="210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6">
        <f>IF(COUNT(B210:M210)=0,"",SUM(B210:M210))</f>
        <v/>
      </c>
      <c r="O210" s="27">
        <f>IF(N210="","",IF(N210&lt;=0,"",N210/SUMIF($N$8:$N$507,"&gt;0")))</f>
        <v/>
      </c>
      <c r="P210" s="27">
        <f>IF(O210="","",SUMIF($N$8:$N$507,"&gt;="&amp;N210)/SUMIF($N$8:$N$507,"&gt;0"))</f>
        <v/>
      </c>
      <c r="Q210" s="28">
        <f>IF(O210="","",IF(SUMIF($N$8:$N$507,"&gt;"&amp;N210)/SUMIF($N$8:$N$507,"&gt;0")&lt;$B$6,"A",IF(SUMIF($N$8:$N$507,"&gt;"&amp;N210)/SUMIF($N$8:$N$507,"&gt;0")&lt;$D$6,"B","C")))</f>
        <v/>
      </c>
      <c r="R210" s="29">
        <f>IF(O210="","",IF(COUNT(B210:M210)&lt;3,"",STDEVP(B210:M210)/AVERAGE(B210:M210)))</f>
        <v/>
      </c>
      <c r="S210" s="28">
        <f>IF(R210="","",IF(R210&lt;=$G$6,"X",IF(R210&lt;=$I$6,"Y","Z")))</f>
        <v/>
      </c>
    </row>
    <row r="211">
      <c r="A211" s="24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6">
        <f>IF(COUNT(B211:M211)=0,"",SUM(B211:M211))</f>
        <v/>
      </c>
      <c r="O211" s="27">
        <f>IF(N211="","",IF(N211&lt;=0,"",N211/SUMIF($N$8:$N$507,"&gt;0")))</f>
        <v/>
      </c>
      <c r="P211" s="27">
        <f>IF(O211="","",SUMIF($N$8:$N$507,"&gt;="&amp;N211)/SUMIF($N$8:$N$507,"&gt;0"))</f>
        <v/>
      </c>
      <c r="Q211" s="28">
        <f>IF(O211="","",IF(SUMIF($N$8:$N$507,"&gt;"&amp;N211)/SUMIF($N$8:$N$507,"&gt;0")&lt;$B$6,"A",IF(SUMIF($N$8:$N$507,"&gt;"&amp;N211)/SUMIF($N$8:$N$507,"&gt;0")&lt;$D$6,"B","C")))</f>
        <v/>
      </c>
      <c r="R211" s="29">
        <f>IF(O211="","",IF(COUNT(B211:M211)&lt;3,"",STDEVP(B211:M211)/AVERAGE(B211:M211)))</f>
        <v/>
      </c>
      <c r="S211" s="28">
        <f>IF(R211="","",IF(R211&lt;=$G$6,"X",IF(R211&lt;=$I$6,"Y","Z")))</f>
        <v/>
      </c>
    </row>
    <row r="21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6">
        <f>IF(COUNT(B212:M212)=0,"",SUM(B212:M212))</f>
        <v/>
      </c>
      <c r="O212" s="27">
        <f>IF(N212="","",IF(N212&lt;=0,"",N212/SUMIF($N$8:$N$507,"&gt;0")))</f>
        <v/>
      </c>
      <c r="P212" s="27">
        <f>IF(O212="","",SUMIF($N$8:$N$507,"&gt;="&amp;N212)/SUMIF($N$8:$N$507,"&gt;0"))</f>
        <v/>
      </c>
      <c r="Q212" s="28">
        <f>IF(O212="","",IF(SUMIF($N$8:$N$507,"&gt;"&amp;N212)/SUMIF($N$8:$N$507,"&gt;0")&lt;$B$6,"A",IF(SUMIF($N$8:$N$507,"&gt;"&amp;N212)/SUMIF($N$8:$N$507,"&gt;0")&lt;$D$6,"B","C")))</f>
        <v/>
      </c>
      <c r="R212" s="29">
        <f>IF(O212="","",IF(COUNT(B212:M212)&lt;3,"",STDEVP(B212:M212)/AVERAGE(B212:M212)))</f>
        <v/>
      </c>
      <c r="S212" s="28">
        <f>IF(R212="","",IF(R212&lt;=$G$6,"X",IF(R212&lt;=$I$6,"Y","Z")))</f>
        <v/>
      </c>
    </row>
    <row r="213">
      <c r="A213" s="24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6">
        <f>IF(COUNT(B213:M213)=0,"",SUM(B213:M213))</f>
        <v/>
      </c>
      <c r="O213" s="27">
        <f>IF(N213="","",IF(N213&lt;=0,"",N213/SUMIF($N$8:$N$507,"&gt;0")))</f>
        <v/>
      </c>
      <c r="P213" s="27">
        <f>IF(O213="","",SUMIF($N$8:$N$507,"&gt;="&amp;N213)/SUMIF($N$8:$N$507,"&gt;0"))</f>
        <v/>
      </c>
      <c r="Q213" s="28">
        <f>IF(O213="","",IF(SUMIF($N$8:$N$507,"&gt;"&amp;N213)/SUMIF($N$8:$N$507,"&gt;0")&lt;$B$6,"A",IF(SUMIF($N$8:$N$507,"&gt;"&amp;N213)/SUMIF($N$8:$N$507,"&gt;0")&lt;$D$6,"B","C")))</f>
        <v/>
      </c>
      <c r="R213" s="29">
        <f>IF(O213="","",IF(COUNT(B213:M213)&lt;3,"",STDEVP(B213:M213)/AVERAGE(B213:M213)))</f>
        <v/>
      </c>
      <c r="S213" s="28">
        <f>IF(R213="","",IF(R213&lt;=$G$6,"X",IF(R213&lt;=$I$6,"Y","Z")))</f>
        <v/>
      </c>
    </row>
    <row r="214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6">
        <f>IF(COUNT(B214:M214)=0,"",SUM(B214:M214))</f>
        <v/>
      </c>
      <c r="O214" s="27">
        <f>IF(N214="","",IF(N214&lt;=0,"",N214/SUMIF($N$8:$N$507,"&gt;0")))</f>
        <v/>
      </c>
      <c r="P214" s="27">
        <f>IF(O214="","",SUMIF($N$8:$N$507,"&gt;="&amp;N214)/SUMIF($N$8:$N$507,"&gt;0"))</f>
        <v/>
      </c>
      <c r="Q214" s="28">
        <f>IF(O214="","",IF(SUMIF($N$8:$N$507,"&gt;"&amp;N214)/SUMIF($N$8:$N$507,"&gt;0")&lt;$B$6,"A",IF(SUMIF($N$8:$N$507,"&gt;"&amp;N214)/SUMIF($N$8:$N$507,"&gt;0")&lt;$D$6,"B","C")))</f>
        <v/>
      </c>
      <c r="R214" s="29">
        <f>IF(O214="","",IF(COUNT(B214:M214)&lt;3,"",STDEVP(B214:M214)/AVERAGE(B214:M214)))</f>
        <v/>
      </c>
      <c r="S214" s="28">
        <f>IF(R214="","",IF(R214&lt;=$G$6,"X",IF(R214&lt;=$I$6,"Y","Z")))</f>
        <v/>
      </c>
    </row>
    <row r="215">
      <c r="A215" s="24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6">
        <f>IF(COUNT(B215:M215)=0,"",SUM(B215:M215))</f>
        <v/>
      </c>
      <c r="O215" s="27">
        <f>IF(N215="","",IF(N215&lt;=0,"",N215/SUMIF($N$8:$N$507,"&gt;0")))</f>
        <v/>
      </c>
      <c r="P215" s="27">
        <f>IF(O215="","",SUMIF($N$8:$N$507,"&gt;="&amp;N215)/SUMIF($N$8:$N$507,"&gt;0"))</f>
        <v/>
      </c>
      <c r="Q215" s="28">
        <f>IF(O215="","",IF(SUMIF($N$8:$N$507,"&gt;"&amp;N215)/SUMIF($N$8:$N$507,"&gt;0")&lt;$B$6,"A",IF(SUMIF($N$8:$N$507,"&gt;"&amp;N215)/SUMIF($N$8:$N$507,"&gt;0")&lt;$D$6,"B","C")))</f>
        <v/>
      </c>
      <c r="R215" s="29">
        <f>IF(O215="","",IF(COUNT(B215:M215)&lt;3,"",STDEVP(B215:M215)/AVERAGE(B215:M215)))</f>
        <v/>
      </c>
      <c r="S215" s="28">
        <f>IF(R215="","",IF(R215&lt;=$G$6,"X",IF(R215&lt;=$I$6,"Y","Z")))</f>
        <v/>
      </c>
    </row>
    <row r="216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6">
        <f>IF(COUNT(B216:M216)=0,"",SUM(B216:M216))</f>
        <v/>
      </c>
      <c r="O216" s="27">
        <f>IF(N216="","",IF(N216&lt;=0,"",N216/SUMIF($N$8:$N$507,"&gt;0")))</f>
        <v/>
      </c>
      <c r="P216" s="27">
        <f>IF(O216="","",SUMIF($N$8:$N$507,"&gt;="&amp;N216)/SUMIF($N$8:$N$507,"&gt;0"))</f>
        <v/>
      </c>
      <c r="Q216" s="28">
        <f>IF(O216="","",IF(SUMIF($N$8:$N$507,"&gt;"&amp;N216)/SUMIF($N$8:$N$507,"&gt;0")&lt;$B$6,"A",IF(SUMIF($N$8:$N$507,"&gt;"&amp;N216)/SUMIF($N$8:$N$507,"&gt;0")&lt;$D$6,"B","C")))</f>
        <v/>
      </c>
      <c r="R216" s="29">
        <f>IF(O216="","",IF(COUNT(B216:M216)&lt;3,"",STDEVP(B216:M216)/AVERAGE(B216:M216)))</f>
        <v/>
      </c>
      <c r="S216" s="28">
        <f>IF(R216="","",IF(R216&lt;=$G$6,"X",IF(R216&lt;=$I$6,"Y","Z")))</f>
        <v/>
      </c>
    </row>
    <row r="217">
      <c r="A217" s="24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6">
        <f>IF(COUNT(B217:M217)=0,"",SUM(B217:M217))</f>
        <v/>
      </c>
      <c r="O217" s="27">
        <f>IF(N217="","",IF(N217&lt;=0,"",N217/SUMIF($N$8:$N$507,"&gt;0")))</f>
        <v/>
      </c>
      <c r="P217" s="27">
        <f>IF(O217="","",SUMIF($N$8:$N$507,"&gt;="&amp;N217)/SUMIF($N$8:$N$507,"&gt;0"))</f>
        <v/>
      </c>
      <c r="Q217" s="28">
        <f>IF(O217="","",IF(SUMIF($N$8:$N$507,"&gt;"&amp;N217)/SUMIF($N$8:$N$507,"&gt;0")&lt;$B$6,"A",IF(SUMIF($N$8:$N$507,"&gt;"&amp;N217)/SUMIF($N$8:$N$507,"&gt;0")&lt;$D$6,"B","C")))</f>
        <v/>
      </c>
      <c r="R217" s="29">
        <f>IF(O217="","",IF(COUNT(B217:M217)&lt;3,"",STDEVP(B217:M217)/AVERAGE(B217:M217)))</f>
        <v/>
      </c>
      <c r="S217" s="28">
        <f>IF(R217="","",IF(R217&lt;=$G$6,"X",IF(R217&lt;=$I$6,"Y","Z")))</f>
        <v/>
      </c>
    </row>
    <row r="218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6">
        <f>IF(COUNT(B218:M218)=0,"",SUM(B218:M218))</f>
        <v/>
      </c>
      <c r="O218" s="27">
        <f>IF(N218="","",IF(N218&lt;=0,"",N218/SUMIF($N$8:$N$507,"&gt;0")))</f>
        <v/>
      </c>
      <c r="P218" s="27">
        <f>IF(O218="","",SUMIF($N$8:$N$507,"&gt;="&amp;N218)/SUMIF($N$8:$N$507,"&gt;0"))</f>
        <v/>
      </c>
      <c r="Q218" s="28">
        <f>IF(O218="","",IF(SUMIF($N$8:$N$507,"&gt;"&amp;N218)/SUMIF($N$8:$N$507,"&gt;0")&lt;$B$6,"A",IF(SUMIF($N$8:$N$507,"&gt;"&amp;N218)/SUMIF($N$8:$N$507,"&gt;0")&lt;$D$6,"B","C")))</f>
        <v/>
      </c>
      <c r="R218" s="29">
        <f>IF(O218="","",IF(COUNT(B218:M218)&lt;3,"",STDEVP(B218:M218)/AVERAGE(B218:M218)))</f>
        <v/>
      </c>
      <c r="S218" s="28">
        <f>IF(R218="","",IF(R218&lt;=$G$6,"X",IF(R218&lt;=$I$6,"Y","Z")))</f>
        <v/>
      </c>
    </row>
    <row r="219">
      <c r="A219" s="24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6">
        <f>IF(COUNT(B219:M219)=0,"",SUM(B219:M219))</f>
        <v/>
      </c>
      <c r="O219" s="27">
        <f>IF(N219="","",IF(N219&lt;=0,"",N219/SUMIF($N$8:$N$507,"&gt;0")))</f>
        <v/>
      </c>
      <c r="P219" s="27">
        <f>IF(O219="","",SUMIF($N$8:$N$507,"&gt;="&amp;N219)/SUMIF($N$8:$N$507,"&gt;0"))</f>
        <v/>
      </c>
      <c r="Q219" s="28">
        <f>IF(O219="","",IF(SUMIF($N$8:$N$507,"&gt;"&amp;N219)/SUMIF($N$8:$N$507,"&gt;0")&lt;$B$6,"A",IF(SUMIF($N$8:$N$507,"&gt;"&amp;N219)/SUMIF($N$8:$N$507,"&gt;0")&lt;$D$6,"B","C")))</f>
        <v/>
      </c>
      <c r="R219" s="29">
        <f>IF(O219="","",IF(COUNT(B219:M219)&lt;3,"",STDEVP(B219:M219)/AVERAGE(B219:M219)))</f>
        <v/>
      </c>
      <c r="S219" s="28">
        <f>IF(R219="","",IF(R219&lt;=$G$6,"X",IF(R219&lt;=$I$6,"Y","Z")))</f>
        <v/>
      </c>
    </row>
    <row r="220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6">
        <f>IF(COUNT(B220:M220)=0,"",SUM(B220:M220))</f>
        <v/>
      </c>
      <c r="O220" s="27">
        <f>IF(N220="","",IF(N220&lt;=0,"",N220/SUMIF($N$8:$N$507,"&gt;0")))</f>
        <v/>
      </c>
      <c r="P220" s="27">
        <f>IF(O220="","",SUMIF($N$8:$N$507,"&gt;="&amp;N220)/SUMIF($N$8:$N$507,"&gt;0"))</f>
        <v/>
      </c>
      <c r="Q220" s="28">
        <f>IF(O220="","",IF(SUMIF($N$8:$N$507,"&gt;"&amp;N220)/SUMIF($N$8:$N$507,"&gt;0")&lt;$B$6,"A",IF(SUMIF($N$8:$N$507,"&gt;"&amp;N220)/SUMIF($N$8:$N$507,"&gt;0")&lt;$D$6,"B","C")))</f>
        <v/>
      </c>
      <c r="R220" s="29">
        <f>IF(O220="","",IF(COUNT(B220:M220)&lt;3,"",STDEVP(B220:M220)/AVERAGE(B220:M220)))</f>
        <v/>
      </c>
      <c r="S220" s="28">
        <f>IF(R220="","",IF(R220&lt;=$G$6,"X",IF(R220&lt;=$I$6,"Y","Z")))</f>
        <v/>
      </c>
    </row>
    <row r="221">
      <c r="A221" s="24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6">
        <f>IF(COUNT(B221:M221)=0,"",SUM(B221:M221))</f>
        <v/>
      </c>
      <c r="O221" s="27">
        <f>IF(N221="","",IF(N221&lt;=0,"",N221/SUMIF($N$8:$N$507,"&gt;0")))</f>
        <v/>
      </c>
      <c r="P221" s="27">
        <f>IF(O221="","",SUMIF($N$8:$N$507,"&gt;="&amp;N221)/SUMIF($N$8:$N$507,"&gt;0"))</f>
        <v/>
      </c>
      <c r="Q221" s="28">
        <f>IF(O221="","",IF(SUMIF($N$8:$N$507,"&gt;"&amp;N221)/SUMIF($N$8:$N$507,"&gt;0")&lt;$B$6,"A",IF(SUMIF($N$8:$N$507,"&gt;"&amp;N221)/SUMIF($N$8:$N$507,"&gt;0")&lt;$D$6,"B","C")))</f>
        <v/>
      </c>
      <c r="R221" s="29">
        <f>IF(O221="","",IF(COUNT(B221:M221)&lt;3,"",STDEVP(B221:M221)/AVERAGE(B221:M221)))</f>
        <v/>
      </c>
      <c r="S221" s="28">
        <f>IF(R221="","",IF(R221&lt;=$G$6,"X",IF(R221&lt;=$I$6,"Y","Z")))</f>
        <v/>
      </c>
    </row>
    <row r="22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6">
        <f>IF(COUNT(B222:M222)=0,"",SUM(B222:M222))</f>
        <v/>
      </c>
      <c r="O222" s="27">
        <f>IF(N222="","",IF(N222&lt;=0,"",N222/SUMIF($N$8:$N$507,"&gt;0")))</f>
        <v/>
      </c>
      <c r="P222" s="27">
        <f>IF(O222="","",SUMIF($N$8:$N$507,"&gt;="&amp;N222)/SUMIF($N$8:$N$507,"&gt;0"))</f>
        <v/>
      </c>
      <c r="Q222" s="28">
        <f>IF(O222="","",IF(SUMIF($N$8:$N$507,"&gt;"&amp;N222)/SUMIF($N$8:$N$507,"&gt;0")&lt;$B$6,"A",IF(SUMIF($N$8:$N$507,"&gt;"&amp;N222)/SUMIF($N$8:$N$507,"&gt;0")&lt;$D$6,"B","C")))</f>
        <v/>
      </c>
      <c r="R222" s="29">
        <f>IF(O222="","",IF(COUNT(B222:M222)&lt;3,"",STDEVP(B222:M222)/AVERAGE(B222:M222)))</f>
        <v/>
      </c>
      <c r="S222" s="28">
        <f>IF(R222="","",IF(R222&lt;=$G$6,"X",IF(R222&lt;=$I$6,"Y","Z")))</f>
        <v/>
      </c>
    </row>
    <row r="223">
      <c r="A223" s="24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6">
        <f>IF(COUNT(B223:M223)=0,"",SUM(B223:M223))</f>
        <v/>
      </c>
      <c r="O223" s="27">
        <f>IF(N223="","",IF(N223&lt;=0,"",N223/SUMIF($N$8:$N$507,"&gt;0")))</f>
        <v/>
      </c>
      <c r="P223" s="27">
        <f>IF(O223="","",SUMIF($N$8:$N$507,"&gt;="&amp;N223)/SUMIF($N$8:$N$507,"&gt;0"))</f>
        <v/>
      </c>
      <c r="Q223" s="28">
        <f>IF(O223="","",IF(SUMIF($N$8:$N$507,"&gt;"&amp;N223)/SUMIF($N$8:$N$507,"&gt;0")&lt;$B$6,"A",IF(SUMIF($N$8:$N$507,"&gt;"&amp;N223)/SUMIF($N$8:$N$507,"&gt;0")&lt;$D$6,"B","C")))</f>
        <v/>
      </c>
      <c r="R223" s="29">
        <f>IF(O223="","",IF(COUNT(B223:M223)&lt;3,"",STDEVP(B223:M223)/AVERAGE(B223:M223)))</f>
        <v/>
      </c>
      <c r="S223" s="28">
        <f>IF(R223="","",IF(R223&lt;=$G$6,"X",IF(R223&lt;=$I$6,"Y","Z")))</f>
        <v/>
      </c>
    </row>
    <row r="224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6">
        <f>IF(COUNT(B224:M224)=0,"",SUM(B224:M224))</f>
        <v/>
      </c>
      <c r="O224" s="27">
        <f>IF(N224="","",IF(N224&lt;=0,"",N224/SUMIF($N$8:$N$507,"&gt;0")))</f>
        <v/>
      </c>
      <c r="P224" s="27">
        <f>IF(O224="","",SUMIF($N$8:$N$507,"&gt;="&amp;N224)/SUMIF($N$8:$N$507,"&gt;0"))</f>
        <v/>
      </c>
      <c r="Q224" s="28">
        <f>IF(O224="","",IF(SUMIF($N$8:$N$507,"&gt;"&amp;N224)/SUMIF($N$8:$N$507,"&gt;0")&lt;$B$6,"A",IF(SUMIF($N$8:$N$507,"&gt;"&amp;N224)/SUMIF($N$8:$N$507,"&gt;0")&lt;$D$6,"B","C")))</f>
        <v/>
      </c>
      <c r="R224" s="29">
        <f>IF(O224="","",IF(COUNT(B224:M224)&lt;3,"",STDEVP(B224:M224)/AVERAGE(B224:M224)))</f>
        <v/>
      </c>
      <c r="S224" s="28">
        <f>IF(R224="","",IF(R224&lt;=$G$6,"X",IF(R224&lt;=$I$6,"Y","Z")))</f>
        <v/>
      </c>
    </row>
    <row r="225">
      <c r="A225" s="24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6">
        <f>IF(COUNT(B225:M225)=0,"",SUM(B225:M225))</f>
        <v/>
      </c>
      <c r="O225" s="27">
        <f>IF(N225="","",IF(N225&lt;=0,"",N225/SUMIF($N$8:$N$507,"&gt;0")))</f>
        <v/>
      </c>
      <c r="P225" s="27">
        <f>IF(O225="","",SUMIF($N$8:$N$507,"&gt;="&amp;N225)/SUMIF($N$8:$N$507,"&gt;0"))</f>
        <v/>
      </c>
      <c r="Q225" s="28">
        <f>IF(O225="","",IF(SUMIF($N$8:$N$507,"&gt;"&amp;N225)/SUMIF($N$8:$N$507,"&gt;0")&lt;$B$6,"A",IF(SUMIF($N$8:$N$507,"&gt;"&amp;N225)/SUMIF($N$8:$N$507,"&gt;0")&lt;$D$6,"B","C")))</f>
        <v/>
      </c>
      <c r="R225" s="29">
        <f>IF(O225="","",IF(COUNT(B225:M225)&lt;3,"",STDEVP(B225:M225)/AVERAGE(B225:M225)))</f>
        <v/>
      </c>
      <c r="S225" s="28">
        <f>IF(R225="","",IF(R225&lt;=$G$6,"X",IF(R225&lt;=$I$6,"Y","Z")))</f>
        <v/>
      </c>
    </row>
    <row r="226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6">
        <f>IF(COUNT(B226:M226)=0,"",SUM(B226:M226))</f>
        <v/>
      </c>
      <c r="O226" s="27">
        <f>IF(N226="","",IF(N226&lt;=0,"",N226/SUMIF($N$8:$N$507,"&gt;0")))</f>
        <v/>
      </c>
      <c r="P226" s="27">
        <f>IF(O226="","",SUMIF($N$8:$N$507,"&gt;="&amp;N226)/SUMIF($N$8:$N$507,"&gt;0"))</f>
        <v/>
      </c>
      <c r="Q226" s="28">
        <f>IF(O226="","",IF(SUMIF($N$8:$N$507,"&gt;"&amp;N226)/SUMIF($N$8:$N$507,"&gt;0")&lt;$B$6,"A",IF(SUMIF($N$8:$N$507,"&gt;"&amp;N226)/SUMIF($N$8:$N$507,"&gt;0")&lt;$D$6,"B","C")))</f>
        <v/>
      </c>
      <c r="R226" s="29">
        <f>IF(O226="","",IF(COUNT(B226:M226)&lt;3,"",STDEVP(B226:M226)/AVERAGE(B226:M226)))</f>
        <v/>
      </c>
      <c r="S226" s="28">
        <f>IF(R226="","",IF(R226&lt;=$G$6,"X",IF(R226&lt;=$I$6,"Y","Z")))</f>
        <v/>
      </c>
    </row>
    <row r="227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6">
        <f>IF(COUNT(B227:M227)=0,"",SUM(B227:M227))</f>
        <v/>
      </c>
      <c r="O227" s="27">
        <f>IF(N227="","",IF(N227&lt;=0,"",N227/SUMIF($N$8:$N$507,"&gt;0")))</f>
        <v/>
      </c>
      <c r="P227" s="27">
        <f>IF(O227="","",SUMIF($N$8:$N$507,"&gt;="&amp;N227)/SUMIF($N$8:$N$507,"&gt;0"))</f>
        <v/>
      </c>
      <c r="Q227" s="28">
        <f>IF(O227="","",IF(SUMIF($N$8:$N$507,"&gt;"&amp;N227)/SUMIF($N$8:$N$507,"&gt;0")&lt;$B$6,"A",IF(SUMIF($N$8:$N$507,"&gt;"&amp;N227)/SUMIF($N$8:$N$507,"&gt;0")&lt;$D$6,"B","C")))</f>
        <v/>
      </c>
      <c r="R227" s="29">
        <f>IF(O227="","",IF(COUNT(B227:M227)&lt;3,"",STDEVP(B227:M227)/AVERAGE(B227:M227)))</f>
        <v/>
      </c>
      <c r="S227" s="28">
        <f>IF(R227="","",IF(R227&lt;=$G$6,"X",IF(R227&lt;=$I$6,"Y","Z")))</f>
        <v/>
      </c>
    </row>
    <row r="228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6">
        <f>IF(COUNT(B228:M228)=0,"",SUM(B228:M228))</f>
        <v/>
      </c>
      <c r="O228" s="27">
        <f>IF(N228="","",IF(N228&lt;=0,"",N228/SUMIF($N$8:$N$507,"&gt;0")))</f>
        <v/>
      </c>
      <c r="P228" s="27">
        <f>IF(O228="","",SUMIF($N$8:$N$507,"&gt;="&amp;N228)/SUMIF($N$8:$N$507,"&gt;0"))</f>
        <v/>
      </c>
      <c r="Q228" s="28">
        <f>IF(O228="","",IF(SUMIF($N$8:$N$507,"&gt;"&amp;N228)/SUMIF($N$8:$N$507,"&gt;0")&lt;$B$6,"A",IF(SUMIF($N$8:$N$507,"&gt;"&amp;N228)/SUMIF($N$8:$N$507,"&gt;0")&lt;$D$6,"B","C")))</f>
        <v/>
      </c>
      <c r="R228" s="29">
        <f>IF(O228="","",IF(COUNT(B228:M228)&lt;3,"",STDEVP(B228:M228)/AVERAGE(B228:M228)))</f>
        <v/>
      </c>
      <c r="S228" s="28">
        <f>IF(R228="","",IF(R228&lt;=$G$6,"X",IF(R228&lt;=$I$6,"Y","Z")))</f>
        <v/>
      </c>
    </row>
    <row r="229">
      <c r="A229" s="24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6">
        <f>IF(COUNT(B229:M229)=0,"",SUM(B229:M229))</f>
        <v/>
      </c>
      <c r="O229" s="27">
        <f>IF(N229="","",IF(N229&lt;=0,"",N229/SUMIF($N$8:$N$507,"&gt;0")))</f>
        <v/>
      </c>
      <c r="P229" s="27">
        <f>IF(O229="","",SUMIF($N$8:$N$507,"&gt;="&amp;N229)/SUMIF($N$8:$N$507,"&gt;0"))</f>
        <v/>
      </c>
      <c r="Q229" s="28">
        <f>IF(O229="","",IF(SUMIF($N$8:$N$507,"&gt;"&amp;N229)/SUMIF($N$8:$N$507,"&gt;0")&lt;$B$6,"A",IF(SUMIF($N$8:$N$507,"&gt;"&amp;N229)/SUMIF($N$8:$N$507,"&gt;0")&lt;$D$6,"B","C")))</f>
        <v/>
      </c>
      <c r="R229" s="29">
        <f>IF(O229="","",IF(COUNT(B229:M229)&lt;3,"",STDEVP(B229:M229)/AVERAGE(B229:M229)))</f>
        <v/>
      </c>
      <c r="S229" s="28">
        <f>IF(R229="","",IF(R229&lt;=$G$6,"X",IF(R229&lt;=$I$6,"Y","Z")))</f>
        <v/>
      </c>
    </row>
    <row r="230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6">
        <f>IF(COUNT(B230:M230)=0,"",SUM(B230:M230))</f>
        <v/>
      </c>
      <c r="O230" s="27">
        <f>IF(N230="","",IF(N230&lt;=0,"",N230/SUMIF($N$8:$N$507,"&gt;0")))</f>
        <v/>
      </c>
      <c r="P230" s="27">
        <f>IF(O230="","",SUMIF($N$8:$N$507,"&gt;="&amp;N230)/SUMIF($N$8:$N$507,"&gt;0"))</f>
        <v/>
      </c>
      <c r="Q230" s="28">
        <f>IF(O230="","",IF(SUMIF($N$8:$N$507,"&gt;"&amp;N230)/SUMIF($N$8:$N$507,"&gt;0")&lt;$B$6,"A",IF(SUMIF($N$8:$N$507,"&gt;"&amp;N230)/SUMIF($N$8:$N$507,"&gt;0")&lt;$D$6,"B","C")))</f>
        <v/>
      </c>
      <c r="R230" s="29">
        <f>IF(O230="","",IF(COUNT(B230:M230)&lt;3,"",STDEVP(B230:M230)/AVERAGE(B230:M230)))</f>
        <v/>
      </c>
      <c r="S230" s="28">
        <f>IF(R230="","",IF(R230&lt;=$G$6,"X",IF(R230&lt;=$I$6,"Y","Z")))</f>
        <v/>
      </c>
    </row>
    <row r="231">
      <c r="A231" s="24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6">
        <f>IF(COUNT(B231:M231)=0,"",SUM(B231:M231))</f>
        <v/>
      </c>
      <c r="O231" s="27">
        <f>IF(N231="","",IF(N231&lt;=0,"",N231/SUMIF($N$8:$N$507,"&gt;0")))</f>
        <v/>
      </c>
      <c r="P231" s="27">
        <f>IF(O231="","",SUMIF($N$8:$N$507,"&gt;="&amp;N231)/SUMIF($N$8:$N$507,"&gt;0"))</f>
        <v/>
      </c>
      <c r="Q231" s="28">
        <f>IF(O231="","",IF(SUMIF($N$8:$N$507,"&gt;"&amp;N231)/SUMIF($N$8:$N$507,"&gt;0")&lt;$B$6,"A",IF(SUMIF($N$8:$N$507,"&gt;"&amp;N231)/SUMIF($N$8:$N$507,"&gt;0")&lt;$D$6,"B","C")))</f>
        <v/>
      </c>
      <c r="R231" s="29">
        <f>IF(O231="","",IF(COUNT(B231:M231)&lt;3,"",STDEVP(B231:M231)/AVERAGE(B231:M231)))</f>
        <v/>
      </c>
      <c r="S231" s="28">
        <f>IF(R231="","",IF(R231&lt;=$G$6,"X",IF(R231&lt;=$I$6,"Y","Z")))</f>
        <v/>
      </c>
    </row>
    <row r="2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6">
        <f>IF(COUNT(B232:M232)=0,"",SUM(B232:M232))</f>
        <v/>
      </c>
      <c r="O232" s="27">
        <f>IF(N232="","",IF(N232&lt;=0,"",N232/SUMIF($N$8:$N$507,"&gt;0")))</f>
        <v/>
      </c>
      <c r="P232" s="27">
        <f>IF(O232="","",SUMIF($N$8:$N$507,"&gt;="&amp;N232)/SUMIF($N$8:$N$507,"&gt;0"))</f>
        <v/>
      </c>
      <c r="Q232" s="28">
        <f>IF(O232="","",IF(SUMIF($N$8:$N$507,"&gt;"&amp;N232)/SUMIF($N$8:$N$507,"&gt;0")&lt;$B$6,"A",IF(SUMIF($N$8:$N$507,"&gt;"&amp;N232)/SUMIF($N$8:$N$507,"&gt;0")&lt;$D$6,"B","C")))</f>
        <v/>
      </c>
      <c r="R232" s="29">
        <f>IF(O232="","",IF(COUNT(B232:M232)&lt;3,"",STDEVP(B232:M232)/AVERAGE(B232:M232)))</f>
        <v/>
      </c>
      <c r="S232" s="28">
        <f>IF(R232="","",IF(R232&lt;=$G$6,"X",IF(R232&lt;=$I$6,"Y","Z")))</f>
        <v/>
      </c>
    </row>
    <row r="233">
      <c r="A233" s="24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6">
        <f>IF(COUNT(B233:M233)=0,"",SUM(B233:M233))</f>
        <v/>
      </c>
      <c r="O233" s="27">
        <f>IF(N233="","",IF(N233&lt;=0,"",N233/SUMIF($N$8:$N$507,"&gt;0")))</f>
        <v/>
      </c>
      <c r="P233" s="27">
        <f>IF(O233="","",SUMIF($N$8:$N$507,"&gt;="&amp;N233)/SUMIF($N$8:$N$507,"&gt;0"))</f>
        <v/>
      </c>
      <c r="Q233" s="28">
        <f>IF(O233="","",IF(SUMIF($N$8:$N$507,"&gt;"&amp;N233)/SUMIF($N$8:$N$507,"&gt;0")&lt;$B$6,"A",IF(SUMIF($N$8:$N$507,"&gt;"&amp;N233)/SUMIF($N$8:$N$507,"&gt;0")&lt;$D$6,"B","C")))</f>
        <v/>
      </c>
      <c r="R233" s="29">
        <f>IF(O233="","",IF(COUNT(B233:M233)&lt;3,"",STDEVP(B233:M233)/AVERAGE(B233:M233)))</f>
        <v/>
      </c>
      <c r="S233" s="28">
        <f>IF(R233="","",IF(R233&lt;=$G$6,"X",IF(R233&lt;=$I$6,"Y","Z")))</f>
        <v/>
      </c>
    </row>
    <row r="234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6">
        <f>IF(COUNT(B234:M234)=0,"",SUM(B234:M234))</f>
        <v/>
      </c>
      <c r="O234" s="27">
        <f>IF(N234="","",IF(N234&lt;=0,"",N234/SUMIF($N$8:$N$507,"&gt;0")))</f>
        <v/>
      </c>
      <c r="P234" s="27">
        <f>IF(O234="","",SUMIF($N$8:$N$507,"&gt;="&amp;N234)/SUMIF($N$8:$N$507,"&gt;0"))</f>
        <v/>
      </c>
      <c r="Q234" s="28">
        <f>IF(O234="","",IF(SUMIF($N$8:$N$507,"&gt;"&amp;N234)/SUMIF($N$8:$N$507,"&gt;0")&lt;$B$6,"A",IF(SUMIF($N$8:$N$507,"&gt;"&amp;N234)/SUMIF($N$8:$N$507,"&gt;0")&lt;$D$6,"B","C")))</f>
        <v/>
      </c>
      <c r="R234" s="29">
        <f>IF(O234="","",IF(COUNT(B234:M234)&lt;3,"",STDEVP(B234:M234)/AVERAGE(B234:M234)))</f>
        <v/>
      </c>
      <c r="S234" s="28">
        <f>IF(R234="","",IF(R234&lt;=$G$6,"X",IF(R234&lt;=$I$6,"Y","Z")))</f>
        <v/>
      </c>
    </row>
    <row r="235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6">
        <f>IF(COUNT(B235:M235)=0,"",SUM(B235:M235))</f>
        <v/>
      </c>
      <c r="O235" s="27">
        <f>IF(N235="","",IF(N235&lt;=0,"",N235/SUMIF($N$8:$N$507,"&gt;0")))</f>
        <v/>
      </c>
      <c r="P235" s="27">
        <f>IF(O235="","",SUMIF($N$8:$N$507,"&gt;="&amp;N235)/SUMIF($N$8:$N$507,"&gt;0"))</f>
        <v/>
      </c>
      <c r="Q235" s="28">
        <f>IF(O235="","",IF(SUMIF($N$8:$N$507,"&gt;"&amp;N235)/SUMIF($N$8:$N$507,"&gt;0")&lt;$B$6,"A",IF(SUMIF($N$8:$N$507,"&gt;"&amp;N235)/SUMIF($N$8:$N$507,"&gt;0")&lt;$D$6,"B","C")))</f>
        <v/>
      </c>
      <c r="R235" s="29">
        <f>IF(O235="","",IF(COUNT(B235:M235)&lt;3,"",STDEVP(B235:M235)/AVERAGE(B235:M235)))</f>
        <v/>
      </c>
      <c r="S235" s="28">
        <f>IF(R235="","",IF(R235&lt;=$G$6,"X",IF(R235&lt;=$I$6,"Y","Z")))</f>
        <v/>
      </c>
    </row>
    <row r="236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6">
        <f>IF(COUNT(B236:M236)=0,"",SUM(B236:M236))</f>
        <v/>
      </c>
      <c r="O236" s="27">
        <f>IF(N236="","",IF(N236&lt;=0,"",N236/SUMIF($N$8:$N$507,"&gt;0")))</f>
        <v/>
      </c>
      <c r="P236" s="27">
        <f>IF(O236="","",SUMIF($N$8:$N$507,"&gt;="&amp;N236)/SUMIF($N$8:$N$507,"&gt;0"))</f>
        <v/>
      </c>
      <c r="Q236" s="28">
        <f>IF(O236="","",IF(SUMIF($N$8:$N$507,"&gt;"&amp;N236)/SUMIF($N$8:$N$507,"&gt;0")&lt;$B$6,"A",IF(SUMIF($N$8:$N$507,"&gt;"&amp;N236)/SUMIF($N$8:$N$507,"&gt;0")&lt;$D$6,"B","C")))</f>
        <v/>
      </c>
      <c r="R236" s="29">
        <f>IF(O236="","",IF(COUNT(B236:M236)&lt;3,"",STDEVP(B236:M236)/AVERAGE(B236:M236)))</f>
        <v/>
      </c>
      <c r="S236" s="28">
        <f>IF(R236="","",IF(R236&lt;=$G$6,"X",IF(R236&lt;=$I$6,"Y","Z")))</f>
        <v/>
      </c>
    </row>
    <row r="237">
      <c r="A237" s="24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6">
        <f>IF(COUNT(B237:M237)=0,"",SUM(B237:M237))</f>
        <v/>
      </c>
      <c r="O237" s="27">
        <f>IF(N237="","",IF(N237&lt;=0,"",N237/SUMIF($N$8:$N$507,"&gt;0")))</f>
        <v/>
      </c>
      <c r="P237" s="27">
        <f>IF(O237="","",SUMIF($N$8:$N$507,"&gt;="&amp;N237)/SUMIF($N$8:$N$507,"&gt;0"))</f>
        <v/>
      </c>
      <c r="Q237" s="28">
        <f>IF(O237="","",IF(SUMIF($N$8:$N$507,"&gt;"&amp;N237)/SUMIF($N$8:$N$507,"&gt;0")&lt;$B$6,"A",IF(SUMIF($N$8:$N$507,"&gt;"&amp;N237)/SUMIF($N$8:$N$507,"&gt;0")&lt;$D$6,"B","C")))</f>
        <v/>
      </c>
      <c r="R237" s="29">
        <f>IF(O237="","",IF(COUNT(B237:M237)&lt;3,"",STDEVP(B237:M237)/AVERAGE(B237:M237)))</f>
        <v/>
      </c>
      <c r="S237" s="28">
        <f>IF(R237="","",IF(R237&lt;=$G$6,"X",IF(R237&lt;=$I$6,"Y","Z")))</f>
        <v/>
      </c>
    </row>
    <row r="238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6">
        <f>IF(COUNT(B238:M238)=0,"",SUM(B238:M238))</f>
        <v/>
      </c>
      <c r="O238" s="27">
        <f>IF(N238="","",IF(N238&lt;=0,"",N238/SUMIF($N$8:$N$507,"&gt;0")))</f>
        <v/>
      </c>
      <c r="P238" s="27">
        <f>IF(O238="","",SUMIF($N$8:$N$507,"&gt;="&amp;N238)/SUMIF($N$8:$N$507,"&gt;0"))</f>
        <v/>
      </c>
      <c r="Q238" s="28">
        <f>IF(O238="","",IF(SUMIF($N$8:$N$507,"&gt;"&amp;N238)/SUMIF($N$8:$N$507,"&gt;0")&lt;$B$6,"A",IF(SUMIF($N$8:$N$507,"&gt;"&amp;N238)/SUMIF($N$8:$N$507,"&gt;0")&lt;$D$6,"B","C")))</f>
        <v/>
      </c>
      <c r="R238" s="29">
        <f>IF(O238="","",IF(COUNT(B238:M238)&lt;3,"",STDEVP(B238:M238)/AVERAGE(B238:M238)))</f>
        <v/>
      </c>
      <c r="S238" s="28">
        <f>IF(R238="","",IF(R238&lt;=$G$6,"X",IF(R238&lt;=$I$6,"Y","Z")))</f>
        <v/>
      </c>
    </row>
    <row r="239">
      <c r="A239" s="24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6">
        <f>IF(COUNT(B239:M239)=0,"",SUM(B239:M239))</f>
        <v/>
      </c>
      <c r="O239" s="27">
        <f>IF(N239="","",IF(N239&lt;=0,"",N239/SUMIF($N$8:$N$507,"&gt;0")))</f>
        <v/>
      </c>
      <c r="P239" s="27">
        <f>IF(O239="","",SUMIF($N$8:$N$507,"&gt;="&amp;N239)/SUMIF($N$8:$N$507,"&gt;0"))</f>
        <v/>
      </c>
      <c r="Q239" s="28">
        <f>IF(O239="","",IF(SUMIF($N$8:$N$507,"&gt;"&amp;N239)/SUMIF($N$8:$N$507,"&gt;0")&lt;$B$6,"A",IF(SUMIF($N$8:$N$507,"&gt;"&amp;N239)/SUMIF($N$8:$N$507,"&gt;0")&lt;$D$6,"B","C")))</f>
        <v/>
      </c>
      <c r="R239" s="29">
        <f>IF(O239="","",IF(COUNT(B239:M239)&lt;3,"",STDEVP(B239:M239)/AVERAGE(B239:M239)))</f>
        <v/>
      </c>
      <c r="S239" s="28">
        <f>IF(R239="","",IF(R239&lt;=$G$6,"X",IF(R239&lt;=$I$6,"Y","Z")))</f>
        <v/>
      </c>
    </row>
    <row r="240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6">
        <f>IF(COUNT(B240:M240)=0,"",SUM(B240:M240))</f>
        <v/>
      </c>
      <c r="O240" s="27">
        <f>IF(N240="","",IF(N240&lt;=0,"",N240/SUMIF($N$8:$N$507,"&gt;0")))</f>
        <v/>
      </c>
      <c r="P240" s="27">
        <f>IF(O240="","",SUMIF($N$8:$N$507,"&gt;="&amp;N240)/SUMIF($N$8:$N$507,"&gt;0"))</f>
        <v/>
      </c>
      <c r="Q240" s="28">
        <f>IF(O240="","",IF(SUMIF($N$8:$N$507,"&gt;"&amp;N240)/SUMIF($N$8:$N$507,"&gt;0")&lt;$B$6,"A",IF(SUMIF($N$8:$N$507,"&gt;"&amp;N240)/SUMIF($N$8:$N$507,"&gt;0")&lt;$D$6,"B","C")))</f>
        <v/>
      </c>
      <c r="R240" s="29">
        <f>IF(O240="","",IF(COUNT(B240:M240)&lt;3,"",STDEVP(B240:M240)/AVERAGE(B240:M240)))</f>
        <v/>
      </c>
      <c r="S240" s="28">
        <f>IF(R240="","",IF(R240&lt;=$G$6,"X",IF(R240&lt;=$I$6,"Y","Z")))</f>
        <v/>
      </c>
    </row>
    <row r="241">
      <c r="A241" s="24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6">
        <f>IF(COUNT(B241:M241)=0,"",SUM(B241:M241))</f>
        <v/>
      </c>
      <c r="O241" s="27">
        <f>IF(N241="","",IF(N241&lt;=0,"",N241/SUMIF($N$8:$N$507,"&gt;0")))</f>
        <v/>
      </c>
      <c r="P241" s="27">
        <f>IF(O241="","",SUMIF($N$8:$N$507,"&gt;="&amp;N241)/SUMIF($N$8:$N$507,"&gt;0"))</f>
        <v/>
      </c>
      <c r="Q241" s="28">
        <f>IF(O241="","",IF(SUMIF($N$8:$N$507,"&gt;"&amp;N241)/SUMIF($N$8:$N$507,"&gt;0")&lt;$B$6,"A",IF(SUMIF($N$8:$N$507,"&gt;"&amp;N241)/SUMIF($N$8:$N$507,"&gt;0")&lt;$D$6,"B","C")))</f>
        <v/>
      </c>
      <c r="R241" s="29">
        <f>IF(O241="","",IF(COUNT(B241:M241)&lt;3,"",STDEVP(B241:M241)/AVERAGE(B241:M241)))</f>
        <v/>
      </c>
      <c r="S241" s="28">
        <f>IF(R241="","",IF(R241&lt;=$G$6,"X",IF(R241&lt;=$I$6,"Y","Z")))</f>
        <v/>
      </c>
    </row>
    <row r="24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6">
        <f>IF(COUNT(B242:M242)=0,"",SUM(B242:M242))</f>
        <v/>
      </c>
      <c r="O242" s="27">
        <f>IF(N242="","",IF(N242&lt;=0,"",N242/SUMIF($N$8:$N$507,"&gt;0")))</f>
        <v/>
      </c>
      <c r="P242" s="27">
        <f>IF(O242="","",SUMIF($N$8:$N$507,"&gt;="&amp;N242)/SUMIF($N$8:$N$507,"&gt;0"))</f>
        <v/>
      </c>
      <c r="Q242" s="28">
        <f>IF(O242="","",IF(SUMIF($N$8:$N$507,"&gt;"&amp;N242)/SUMIF($N$8:$N$507,"&gt;0")&lt;$B$6,"A",IF(SUMIF($N$8:$N$507,"&gt;"&amp;N242)/SUMIF($N$8:$N$507,"&gt;0")&lt;$D$6,"B","C")))</f>
        <v/>
      </c>
      <c r="R242" s="29">
        <f>IF(O242="","",IF(COUNT(B242:M242)&lt;3,"",STDEVP(B242:M242)/AVERAGE(B242:M242)))</f>
        <v/>
      </c>
      <c r="S242" s="28">
        <f>IF(R242="","",IF(R242&lt;=$G$6,"X",IF(R242&lt;=$I$6,"Y","Z")))</f>
        <v/>
      </c>
    </row>
    <row r="243">
      <c r="A243" s="24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6">
        <f>IF(COUNT(B243:M243)=0,"",SUM(B243:M243))</f>
        <v/>
      </c>
      <c r="O243" s="27">
        <f>IF(N243="","",IF(N243&lt;=0,"",N243/SUMIF($N$8:$N$507,"&gt;0")))</f>
        <v/>
      </c>
      <c r="P243" s="27">
        <f>IF(O243="","",SUMIF($N$8:$N$507,"&gt;="&amp;N243)/SUMIF($N$8:$N$507,"&gt;0"))</f>
        <v/>
      </c>
      <c r="Q243" s="28">
        <f>IF(O243="","",IF(SUMIF($N$8:$N$507,"&gt;"&amp;N243)/SUMIF($N$8:$N$507,"&gt;0")&lt;$B$6,"A",IF(SUMIF($N$8:$N$507,"&gt;"&amp;N243)/SUMIF($N$8:$N$507,"&gt;0")&lt;$D$6,"B","C")))</f>
        <v/>
      </c>
      <c r="R243" s="29">
        <f>IF(O243="","",IF(COUNT(B243:M243)&lt;3,"",STDEVP(B243:M243)/AVERAGE(B243:M243)))</f>
        <v/>
      </c>
      <c r="S243" s="28">
        <f>IF(R243="","",IF(R243&lt;=$G$6,"X",IF(R243&lt;=$I$6,"Y","Z")))</f>
        <v/>
      </c>
    </row>
    <row r="244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6">
        <f>IF(COUNT(B244:M244)=0,"",SUM(B244:M244))</f>
        <v/>
      </c>
      <c r="O244" s="27">
        <f>IF(N244="","",IF(N244&lt;=0,"",N244/SUMIF($N$8:$N$507,"&gt;0")))</f>
        <v/>
      </c>
      <c r="P244" s="27">
        <f>IF(O244="","",SUMIF($N$8:$N$507,"&gt;="&amp;N244)/SUMIF($N$8:$N$507,"&gt;0"))</f>
        <v/>
      </c>
      <c r="Q244" s="28">
        <f>IF(O244="","",IF(SUMIF($N$8:$N$507,"&gt;"&amp;N244)/SUMIF($N$8:$N$507,"&gt;0")&lt;$B$6,"A",IF(SUMIF($N$8:$N$507,"&gt;"&amp;N244)/SUMIF($N$8:$N$507,"&gt;0")&lt;$D$6,"B","C")))</f>
        <v/>
      </c>
      <c r="R244" s="29">
        <f>IF(O244="","",IF(COUNT(B244:M244)&lt;3,"",STDEVP(B244:M244)/AVERAGE(B244:M244)))</f>
        <v/>
      </c>
      <c r="S244" s="28">
        <f>IF(R244="","",IF(R244&lt;=$G$6,"X",IF(R244&lt;=$I$6,"Y","Z")))</f>
        <v/>
      </c>
    </row>
    <row r="245">
      <c r="A245" s="24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6">
        <f>IF(COUNT(B245:M245)=0,"",SUM(B245:M245))</f>
        <v/>
      </c>
      <c r="O245" s="27">
        <f>IF(N245="","",IF(N245&lt;=0,"",N245/SUMIF($N$8:$N$507,"&gt;0")))</f>
        <v/>
      </c>
      <c r="P245" s="27">
        <f>IF(O245="","",SUMIF($N$8:$N$507,"&gt;="&amp;N245)/SUMIF($N$8:$N$507,"&gt;0"))</f>
        <v/>
      </c>
      <c r="Q245" s="28">
        <f>IF(O245="","",IF(SUMIF($N$8:$N$507,"&gt;"&amp;N245)/SUMIF($N$8:$N$507,"&gt;0")&lt;$B$6,"A",IF(SUMIF($N$8:$N$507,"&gt;"&amp;N245)/SUMIF($N$8:$N$507,"&gt;0")&lt;$D$6,"B","C")))</f>
        <v/>
      </c>
      <c r="R245" s="29">
        <f>IF(O245="","",IF(COUNT(B245:M245)&lt;3,"",STDEVP(B245:M245)/AVERAGE(B245:M245)))</f>
        <v/>
      </c>
      <c r="S245" s="28">
        <f>IF(R245="","",IF(R245&lt;=$G$6,"X",IF(R245&lt;=$I$6,"Y","Z")))</f>
        <v/>
      </c>
    </row>
    <row r="246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6">
        <f>IF(COUNT(B246:M246)=0,"",SUM(B246:M246))</f>
        <v/>
      </c>
      <c r="O246" s="27">
        <f>IF(N246="","",IF(N246&lt;=0,"",N246/SUMIF($N$8:$N$507,"&gt;0")))</f>
        <v/>
      </c>
      <c r="P246" s="27">
        <f>IF(O246="","",SUMIF($N$8:$N$507,"&gt;="&amp;N246)/SUMIF($N$8:$N$507,"&gt;0"))</f>
        <v/>
      </c>
      <c r="Q246" s="28">
        <f>IF(O246="","",IF(SUMIF($N$8:$N$507,"&gt;"&amp;N246)/SUMIF($N$8:$N$507,"&gt;0")&lt;$B$6,"A",IF(SUMIF($N$8:$N$507,"&gt;"&amp;N246)/SUMIF($N$8:$N$507,"&gt;0")&lt;$D$6,"B","C")))</f>
        <v/>
      </c>
      <c r="R246" s="29">
        <f>IF(O246="","",IF(COUNT(B246:M246)&lt;3,"",STDEVP(B246:M246)/AVERAGE(B246:M246)))</f>
        <v/>
      </c>
      <c r="S246" s="28">
        <f>IF(R246="","",IF(R246&lt;=$G$6,"X",IF(R246&lt;=$I$6,"Y","Z")))</f>
        <v/>
      </c>
    </row>
    <row r="247">
      <c r="A247" s="24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6">
        <f>IF(COUNT(B247:M247)=0,"",SUM(B247:M247))</f>
        <v/>
      </c>
      <c r="O247" s="27">
        <f>IF(N247="","",IF(N247&lt;=0,"",N247/SUMIF($N$8:$N$507,"&gt;0")))</f>
        <v/>
      </c>
      <c r="P247" s="27">
        <f>IF(O247="","",SUMIF($N$8:$N$507,"&gt;="&amp;N247)/SUMIF($N$8:$N$507,"&gt;0"))</f>
        <v/>
      </c>
      <c r="Q247" s="28">
        <f>IF(O247="","",IF(SUMIF($N$8:$N$507,"&gt;"&amp;N247)/SUMIF($N$8:$N$507,"&gt;0")&lt;$B$6,"A",IF(SUMIF($N$8:$N$507,"&gt;"&amp;N247)/SUMIF($N$8:$N$507,"&gt;0")&lt;$D$6,"B","C")))</f>
        <v/>
      </c>
      <c r="R247" s="29">
        <f>IF(O247="","",IF(COUNT(B247:M247)&lt;3,"",STDEVP(B247:M247)/AVERAGE(B247:M247)))</f>
        <v/>
      </c>
      <c r="S247" s="28">
        <f>IF(R247="","",IF(R247&lt;=$G$6,"X",IF(R247&lt;=$I$6,"Y","Z")))</f>
        <v/>
      </c>
    </row>
    <row r="248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6">
        <f>IF(COUNT(B248:M248)=0,"",SUM(B248:M248))</f>
        <v/>
      </c>
      <c r="O248" s="27">
        <f>IF(N248="","",IF(N248&lt;=0,"",N248/SUMIF($N$8:$N$507,"&gt;0")))</f>
        <v/>
      </c>
      <c r="P248" s="27">
        <f>IF(O248="","",SUMIF($N$8:$N$507,"&gt;="&amp;N248)/SUMIF($N$8:$N$507,"&gt;0"))</f>
        <v/>
      </c>
      <c r="Q248" s="28">
        <f>IF(O248="","",IF(SUMIF($N$8:$N$507,"&gt;"&amp;N248)/SUMIF($N$8:$N$507,"&gt;0")&lt;$B$6,"A",IF(SUMIF($N$8:$N$507,"&gt;"&amp;N248)/SUMIF($N$8:$N$507,"&gt;0")&lt;$D$6,"B","C")))</f>
        <v/>
      </c>
      <c r="R248" s="29">
        <f>IF(O248="","",IF(COUNT(B248:M248)&lt;3,"",STDEVP(B248:M248)/AVERAGE(B248:M248)))</f>
        <v/>
      </c>
      <c r="S248" s="28">
        <f>IF(R248="","",IF(R248&lt;=$G$6,"X",IF(R248&lt;=$I$6,"Y","Z")))</f>
        <v/>
      </c>
    </row>
    <row r="249">
      <c r="A249" s="24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6">
        <f>IF(COUNT(B249:M249)=0,"",SUM(B249:M249))</f>
        <v/>
      </c>
      <c r="O249" s="27">
        <f>IF(N249="","",IF(N249&lt;=0,"",N249/SUMIF($N$8:$N$507,"&gt;0")))</f>
        <v/>
      </c>
      <c r="P249" s="27">
        <f>IF(O249="","",SUMIF($N$8:$N$507,"&gt;="&amp;N249)/SUMIF($N$8:$N$507,"&gt;0"))</f>
        <v/>
      </c>
      <c r="Q249" s="28">
        <f>IF(O249="","",IF(SUMIF($N$8:$N$507,"&gt;"&amp;N249)/SUMIF($N$8:$N$507,"&gt;0")&lt;$B$6,"A",IF(SUMIF($N$8:$N$507,"&gt;"&amp;N249)/SUMIF($N$8:$N$507,"&gt;0")&lt;$D$6,"B","C")))</f>
        <v/>
      </c>
      <c r="R249" s="29">
        <f>IF(O249="","",IF(COUNT(B249:M249)&lt;3,"",STDEVP(B249:M249)/AVERAGE(B249:M249)))</f>
        <v/>
      </c>
      <c r="S249" s="28">
        <f>IF(R249="","",IF(R249&lt;=$G$6,"X",IF(R249&lt;=$I$6,"Y","Z")))</f>
        <v/>
      </c>
    </row>
    <row r="250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6">
        <f>IF(COUNT(B250:M250)=0,"",SUM(B250:M250))</f>
        <v/>
      </c>
      <c r="O250" s="27">
        <f>IF(N250="","",IF(N250&lt;=0,"",N250/SUMIF($N$8:$N$507,"&gt;0")))</f>
        <v/>
      </c>
      <c r="P250" s="27">
        <f>IF(O250="","",SUMIF($N$8:$N$507,"&gt;="&amp;N250)/SUMIF($N$8:$N$507,"&gt;0"))</f>
        <v/>
      </c>
      <c r="Q250" s="28">
        <f>IF(O250="","",IF(SUMIF($N$8:$N$507,"&gt;"&amp;N250)/SUMIF($N$8:$N$507,"&gt;0")&lt;$B$6,"A",IF(SUMIF($N$8:$N$507,"&gt;"&amp;N250)/SUMIF($N$8:$N$507,"&gt;0")&lt;$D$6,"B","C")))</f>
        <v/>
      </c>
      <c r="R250" s="29">
        <f>IF(O250="","",IF(COUNT(B250:M250)&lt;3,"",STDEVP(B250:M250)/AVERAGE(B250:M250)))</f>
        <v/>
      </c>
      <c r="S250" s="28">
        <f>IF(R250="","",IF(R250&lt;=$G$6,"X",IF(R250&lt;=$I$6,"Y","Z")))</f>
        <v/>
      </c>
    </row>
    <row r="251">
      <c r="A251" s="24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6">
        <f>IF(COUNT(B251:M251)=0,"",SUM(B251:M251))</f>
        <v/>
      </c>
      <c r="O251" s="27">
        <f>IF(N251="","",IF(N251&lt;=0,"",N251/SUMIF($N$8:$N$507,"&gt;0")))</f>
        <v/>
      </c>
      <c r="P251" s="27">
        <f>IF(O251="","",SUMIF($N$8:$N$507,"&gt;="&amp;N251)/SUMIF($N$8:$N$507,"&gt;0"))</f>
        <v/>
      </c>
      <c r="Q251" s="28">
        <f>IF(O251="","",IF(SUMIF($N$8:$N$507,"&gt;"&amp;N251)/SUMIF($N$8:$N$507,"&gt;0")&lt;$B$6,"A",IF(SUMIF($N$8:$N$507,"&gt;"&amp;N251)/SUMIF($N$8:$N$507,"&gt;0")&lt;$D$6,"B","C")))</f>
        <v/>
      </c>
      <c r="R251" s="29">
        <f>IF(O251="","",IF(COUNT(B251:M251)&lt;3,"",STDEVP(B251:M251)/AVERAGE(B251:M251)))</f>
        <v/>
      </c>
      <c r="S251" s="28">
        <f>IF(R251="","",IF(R251&lt;=$G$6,"X",IF(R251&lt;=$I$6,"Y","Z")))</f>
        <v/>
      </c>
    </row>
    <row r="25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6">
        <f>IF(COUNT(B252:M252)=0,"",SUM(B252:M252))</f>
        <v/>
      </c>
      <c r="O252" s="27">
        <f>IF(N252="","",IF(N252&lt;=0,"",N252/SUMIF($N$8:$N$507,"&gt;0")))</f>
        <v/>
      </c>
      <c r="P252" s="27">
        <f>IF(O252="","",SUMIF($N$8:$N$507,"&gt;="&amp;N252)/SUMIF($N$8:$N$507,"&gt;0"))</f>
        <v/>
      </c>
      <c r="Q252" s="28">
        <f>IF(O252="","",IF(SUMIF($N$8:$N$507,"&gt;"&amp;N252)/SUMIF($N$8:$N$507,"&gt;0")&lt;$B$6,"A",IF(SUMIF($N$8:$N$507,"&gt;"&amp;N252)/SUMIF($N$8:$N$507,"&gt;0")&lt;$D$6,"B","C")))</f>
        <v/>
      </c>
      <c r="R252" s="29">
        <f>IF(O252="","",IF(COUNT(B252:M252)&lt;3,"",STDEVP(B252:M252)/AVERAGE(B252:M252)))</f>
        <v/>
      </c>
      <c r="S252" s="28">
        <f>IF(R252="","",IF(R252&lt;=$G$6,"X",IF(R252&lt;=$I$6,"Y","Z")))</f>
        <v/>
      </c>
    </row>
    <row r="253">
      <c r="A253" s="24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6">
        <f>IF(COUNT(B253:M253)=0,"",SUM(B253:M253))</f>
        <v/>
      </c>
      <c r="O253" s="27">
        <f>IF(N253="","",IF(N253&lt;=0,"",N253/SUMIF($N$8:$N$507,"&gt;0")))</f>
        <v/>
      </c>
      <c r="P253" s="27">
        <f>IF(O253="","",SUMIF($N$8:$N$507,"&gt;="&amp;N253)/SUMIF($N$8:$N$507,"&gt;0"))</f>
        <v/>
      </c>
      <c r="Q253" s="28">
        <f>IF(O253="","",IF(SUMIF($N$8:$N$507,"&gt;"&amp;N253)/SUMIF($N$8:$N$507,"&gt;0")&lt;$B$6,"A",IF(SUMIF($N$8:$N$507,"&gt;"&amp;N253)/SUMIF($N$8:$N$507,"&gt;0")&lt;$D$6,"B","C")))</f>
        <v/>
      </c>
      <c r="R253" s="29">
        <f>IF(O253="","",IF(COUNT(B253:M253)&lt;3,"",STDEVP(B253:M253)/AVERAGE(B253:M253)))</f>
        <v/>
      </c>
      <c r="S253" s="28">
        <f>IF(R253="","",IF(R253&lt;=$G$6,"X",IF(R253&lt;=$I$6,"Y","Z")))</f>
        <v/>
      </c>
    </row>
    <row r="254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6">
        <f>IF(COUNT(B254:M254)=0,"",SUM(B254:M254))</f>
        <v/>
      </c>
      <c r="O254" s="27">
        <f>IF(N254="","",IF(N254&lt;=0,"",N254/SUMIF($N$8:$N$507,"&gt;0")))</f>
        <v/>
      </c>
      <c r="P254" s="27">
        <f>IF(O254="","",SUMIF($N$8:$N$507,"&gt;="&amp;N254)/SUMIF($N$8:$N$507,"&gt;0"))</f>
        <v/>
      </c>
      <c r="Q254" s="28">
        <f>IF(O254="","",IF(SUMIF($N$8:$N$507,"&gt;"&amp;N254)/SUMIF($N$8:$N$507,"&gt;0")&lt;$B$6,"A",IF(SUMIF($N$8:$N$507,"&gt;"&amp;N254)/SUMIF($N$8:$N$507,"&gt;0")&lt;$D$6,"B","C")))</f>
        <v/>
      </c>
      <c r="R254" s="29">
        <f>IF(O254="","",IF(COUNT(B254:M254)&lt;3,"",STDEVP(B254:M254)/AVERAGE(B254:M254)))</f>
        <v/>
      </c>
      <c r="S254" s="28">
        <f>IF(R254="","",IF(R254&lt;=$G$6,"X",IF(R254&lt;=$I$6,"Y","Z")))</f>
        <v/>
      </c>
    </row>
    <row r="255">
      <c r="A255" s="24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6">
        <f>IF(COUNT(B255:M255)=0,"",SUM(B255:M255))</f>
        <v/>
      </c>
      <c r="O255" s="27">
        <f>IF(N255="","",IF(N255&lt;=0,"",N255/SUMIF($N$8:$N$507,"&gt;0")))</f>
        <v/>
      </c>
      <c r="P255" s="27">
        <f>IF(O255="","",SUMIF($N$8:$N$507,"&gt;="&amp;N255)/SUMIF($N$8:$N$507,"&gt;0"))</f>
        <v/>
      </c>
      <c r="Q255" s="28">
        <f>IF(O255="","",IF(SUMIF($N$8:$N$507,"&gt;"&amp;N255)/SUMIF($N$8:$N$507,"&gt;0")&lt;$B$6,"A",IF(SUMIF($N$8:$N$507,"&gt;"&amp;N255)/SUMIF($N$8:$N$507,"&gt;0")&lt;$D$6,"B","C")))</f>
        <v/>
      </c>
      <c r="R255" s="29">
        <f>IF(O255="","",IF(COUNT(B255:M255)&lt;3,"",STDEVP(B255:M255)/AVERAGE(B255:M255)))</f>
        <v/>
      </c>
      <c r="S255" s="28">
        <f>IF(R255="","",IF(R255&lt;=$G$6,"X",IF(R255&lt;=$I$6,"Y","Z")))</f>
        <v/>
      </c>
    </row>
    <row r="256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6">
        <f>IF(COUNT(B256:M256)=0,"",SUM(B256:M256))</f>
        <v/>
      </c>
      <c r="O256" s="27">
        <f>IF(N256="","",IF(N256&lt;=0,"",N256/SUMIF($N$8:$N$507,"&gt;0")))</f>
        <v/>
      </c>
      <c r="P256" s="27">
        <f>IF(O256="","",SUMIF($N$8:$N$507,"&gt;="&amp;N256)/SUMIF($N$8:$N$507,"&gt;0"))</f>
        <v/>
      </c>
      <c r="Q256" s="28">
        <f>IF(O256="","",IF(SUMIF($N$8:$N$507,"&gt;"&amp;N256)/SUMIF($N$8:$N$507,"&gt;0")&lt;$B$6,"A",IF(SUMIF($N$8:$N$507,"&gt;"&amp;N256)/SUMIF($N$8:$N$507,"&gt;0")&lt;$D$6,"B","C")))</f>
        <v/>
      </c>
      <c r="R256" s="29">
        <f>IF(O256="","",IF(COUNT(B256:M256)&lt;3,"",STDEVP(B256:M256)/AVERAGE(B256:M256)))</f>
        <v/>
      </c>
      <c r="S256" s="28">
        <f>IF(R256="","",IF(R256&lt;=$G$6,"X",IF(R256&lt;=$I$6,"Y","Z")))</f>
        <v/>
      </c>
    </row>
    <row r="257">
      <c r="A257" s="24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6">
        <f>IF(COUNT(B257:M257)=0,"",SUM(B257:M257))</f>
        <v/>
      </c>
      <c r="O257" s="27">
        <f>IF(N257="","",IF(N257&lt;=0,"",N257/SUMIF($N$8:$N$507,"&gt;0")))</f>
        <v/>
      </c>
      <c r="P257" s="27">
        <f>IF(O257="","",SUMIF($N$8:$N$507,"&gt;="&amp;N257)/SUMIF($N$8:$N$507,"&gt;0"))</f>
        <v/>
      </c>
      <c r="Q257" s="28">
        <f>IF(O257="","",IF(SUMIF($N$8:$N$507,"&gt;"&amp;N257)/SUMIF($N$8:$N$507,"&gt;0")&lt;$B$6,"A",IF(SUMIF($N$8:$N$507,"&gt;"&amp;N257)/SUMIF($N$8:$N$507,"&gt;0")&lt;$D$6,"B","C")))</f>
        <v/>
      </c>
      <c r="R257" s="29">
        <f>IF(O257="","",IF(COUNT(B257:M257)&lt;3,"",STDEVP(B257:M257)/AVERAGE(B257:M257)))</f>
        <v/>
      </c>
      <c r="S257" s="28">
        <f>IF(R257="","",IF(R257&lt;=$G$6,"X",IF(R257&lt;=$I$6,"Y","Z")))</f>
        <v/>
      </c>
    </row>
    <row r="258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6">
        <f>IF(COUNT(B258:M258)=0,"",SUM(B258:M258))</f>
        <v/>
      </c>
      <c r="O258" s="27">
        <f>IF(N258="","",IF(N258&lt;=0,"",N258/SUMIF($N$8:$N$507,"&gt;0")))</f>
        <v/>
      </c>
      <c r="P258" s="27">
        <f>IF(O258="","",SUMIF($N$8:$N$507,"&gt;="&amp;N258)/SUMIF($N$8:$N$507,"&gt;0"))</f>
        <v/>
      </c>
      <c r="Q258" s="28">
        <f>IF(O258="","",IF(SUMIF($N$8:$N$507,"&gt;"&amp;N258)/SUMIF($N$8:$N$507,"&gt;0")&lt;$B$6,"A",IF(SUMIF($N$8:$N$507,"&gt;"&amp;N258)/SUMIF($N$8:$N$507,"&gt;0")&lt;$D$6,"B","C")))</f>
        <v/>
      </c>
      <c r="R258" s="29">
        <f>IF(O258="","",IF(COUNT(B258:M258)&lt;3,"",STDEVP(B258:M258)/AVERAGE(B258:M258)))</f>
        <v/>
      </c>
      <c r="S258" s="28">
        <f>IF(R258="","",IF(R258&lt;=$G$6,"X",IF(R258&lt;=$I$6,"Y","Z")))</f>
        <v/>
      </c>
    </row>
    <row r="259">
      <c r="A259" s="24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6">
        <f>IF(COUNT(B259:M259)=0,"",SUM(B259:M259))</f>
        <v/>
      </c>
      <c r="O259" s="27">
        <f>IF(N259="","",IF(N259&lt;=0,"",N259/SUMIF($N$8:$N$507,"&gt;0")))</f>
        <v/>
      </c>
      <c r="P259" s="27">
        <f>IF(O259="","",SUMIF($N$8:$N$507,"&gt;="&amp;N259)/SUMIF($N$8:$N$507,"&gt;0"))</f>
        <v/>
      </c>
      <c r="Q259" s="28">
        <f>IF(O259="","",IF(SUMIF($N$8:$N$507,"&gt;"&amp;N259)/SUMIF($N$8:$N$507,"&gt;0")&lt;$B$6,"A",IF(SUMIF($N$8:$N$507,"&gt;"&amp;N259)/SUMIF($N$8:$N$507,"&gt;0")&lt;$D$6,"B","C")))</f>
        <v/>
      </c>
      <c r="R259" s="29">
        <f>IF(O259="","",IF(COUNT(B259:M259)&lt;3,"",STDEVP(B259:M259)/AVERAGE(B259:M259)))</f>
        <v/>
      </c>
      <c r="S259" s="28">
        <f>IF(R259="","",IF(R259&lt;=$G$6,"X",IF(R259&lt;=$I$6,"Y","Z")))</f>
        <v/>
      </c>
    </row>
    <row r="260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6">
        <f>IF(COUNT(B260:M260)=0,"",SUM(B260:M260))</f>
        <v/>
      </c>
      <c r="O260" s="27">
        <f>IF(N260="","",IF(N260&lt;=0,"",N260/SUMIF($N$8:$N$507,"&gt;0")))</f>
        <v/>
      </c>
      <c r="P260" s="27">
        <f>IF(O260="","",SUMIF($N$8:$N$507,"&gt;="&amp;N260)/SUMIF($N$8:$N$507,"&gt;0"))</f>
        <v/>
      </c>
      <c r="Q260" s="28">
        <f>IF(O260="","",IF(SUMIF($N$8:$N$507,"&gt;"&amp;N260)/SUMIF($N$8:$N$507,"&gt;0")&lt;$B$6,"A",IF(SUMIF($N$8:$N$507,"&gt;"&amp;N260)/SUMIF($N$8:$N$507,"&gt;0")&lt;$D$6,"B","C")))</f>
        <v/>
      </c>
      <c r="R260" s="29">
        <f>IF(O260="","",IF(COUNT(B260:M260)&lt;3,"",STDEVP(B260:M260)/AVERAGE(B260:M260)))</f>
        <v/>
      </c>
      <c r="S260" s="28">
        <f>IF(R260="","",IF(R260&lt;=$G$6,"X",IF(R260&lt;=$I$6,"Y","Z")))</f>
        <v/>
      </c>
    </row>
    <row r="261">
      <c r="A261" s="24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6">
        <f>IF(COUNT(B261:M261)=0,"",SUM(B261:M261))</f>
        <v/>
      </c>
      <c r="O261" s="27">
        <f>IF(N261="","",IF(N261&lt;=0,"",N261/SUMIF($N$8:$N$507,"&gt;0")))</f>
        <v/>
      </c>
      <c r="P261" s="27">
        <f>IF(O261="","",SUMIF($N$8:$N$507,"&gt;="&amp;N261)/SUMIF($N$8:$N$507,"&gt;0"))</f>
        <v/>
      </c>
      <c r="Q261" s="28">
        <f>IF(O261="","",IF(SUMIF($N$8:$N$507,"&gt;"&amp;N261)/SUMIF($N$8:$N$507,"&gt;0")&lt;$B$6,"A",IF(SUMIF($N$8:$N$507,"&gt;"&amp;N261)/SUMIF($N$8:$N$507,"&gt;0")&lt;$D$6,"B","C")))</f>
        <v/>
      </c>
      <c r="R261" s="29">
        <f>IF(O261="","",IF(COUNT(B261:M261)&lt;3,"",STDEVP(B261:M261)/AVERAGE(B261:M261)))</f>
        <v/>
      </c>
      <c r="S261" s="28">
        <f>IF(R261="","",IF(R261&lt;=$G$6,"X",IF(R261&lt;=$I$6,"Y","Z")))</f>
        <v/>
      </c>
    </row>
    <row r="26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6">
        <f>IF(COUNT(B262:M262)=0,"",SUM(B262:M262))</f>
        <v/>
      </c>
      <c r="O262" s="27">
        <f>IF(N262="","",IF(N262&lt;=0,"",N262/SUMIF($N$8:$N$507,"&gt;0")))</f>
        <v/>
      </c>
      <c r="P262" s="27">
        <f>IF(O262="","",SUMIF($N$8:$N$507,"&gt;="&amp;N262)/SUMIF($N$8:$N$507,"&gt;0"))</f>
        <v/>
      </c>
      <c r="Q262" s="28">
        <f>IF(O262="","",IF(SUMIF($N$8:$N$507,"&gt;"&amp;N262)/SUMIF($N$8:$N$507,"&gt;0")&lt;$B$6,"A",IF(SUMIF($N$8:$N$507,"&gt;"&amp;N262)/SUMIF($N$8:$N$507,"&gt;0")&lt;$D$6,"B","C")))</f>
        <v/>
      </c>
      <c r="R262" s="29">
        <f>IF(O262="","",IF(COUNT(B262:M262)&lt;3,"",STDEVP(B262:M262)/AVERAGE(B262:M262)))</f>
        <v/>
      </c>
      <c r="S262" s="28">
        <f>IF(R262="","",IF(R262&lt;=$G$6,"X",IF(R262&lt;=$I$6,"Y","Z")))</f>
        <v/>
      </c>
    </row>
    <row r="263">
      <c r="A263" s="24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6">
        <f>IF(COUNT(B263:M263)=0,"",SUM(B263:M263))</f>
        <v/>
      </c>
      <c r="O263" s="27">
        <f>IF(N263="","",IF(N263&lt;=0,"",N263/SUMIF($N$8:$N$507,"&gt;0")))</f>
        <v/>
      </c>
      <c r="P263" s="27">
        <f>IF(O263="","",SUMIF($N$8:$N$507,"&gt;="&amp;N263)/SUMIF($N$8:$N$507,"&gt;0"))</f>
        <v/>
      </c>
      <c r="Q263" s="28">
        <f>IF(O263="","",IF(SUMIF($N$8:$N$507,"&gt;"&amp;N263)/SUMIF($N$8:$N$507,"&gt;0")&lt;$B$6,"A",IF(SUMIF($N$8:$N$507,"&gt;"&amp;N263)/SUMIF($N$8:$N$507,"&gt;0")&lt;$D$6,"B","C")))</f>
        <v/>
      </c>
      <c r="R263" s="29">
        <f>IF(O263="","",IF(COUNT(B263:M263)&lt;3,"",STDEVP(B263:M263)/AVERAGE(B263:M263)))</f>
        <v/>
      </c>
      <c r="S263" s="28">
        <f>IF(R263="","",IF(R263&lt;=$G$6,"X",IF(R263&lt;=$I$6,"Y","Z")))</f>
        <v/>
      </c>
    </row>
    <row r="264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6">
        <f>IF(COUNT(B264:M264)=0,"",SUM(B264:M264))</f>
        <v/>
      </c>
      <c r="O264" s="27">
        <f>IF(N264="","",IF(N264&lt;=0,"",N264/SUMIF($N$8:$N$507,"&gt;0")))</f>
        <v/>
      </c>
      <c r="P264" s="27">
        <f>IF(O264="","",SUMIF($N$8:$N$507,"&gt;="&amp;N264)/SUMIF($N$8:$N$507,"&gt;0"))</f>
        <v/>
      </c>
      <c r="Q264" s="28">
        <f>IF(O264="","",IF(SUMIF($N$8:$N$507,"&gt;"&amp;N264)/SUMIF($N$8:$N$507,"&gt;0")&lt;$B$6,"A",IF(SUMIF($N$8:$N$507,"&gt;"&amp;N264)/SUMIF($N$8:$N$507,"&gt;0")&lt;$D$6,"B","C")))</f>
        <v/>
      </c>
      <c r="R264" s="29">
        <f>IF(O264="","",IF(COUNT(B264:M264)&lt;3,"",STDEVP(B264:M264)/AVERAGE(B264:M264)))</f>
        <v/>
      </c>
      <c r="S264" s="28">
        <f>IF(R264="","",IF(R264&lt;=$G$6,"X",IF(R264&lt;=$I$6,"Y","Z")))</f>
        <v/>
      </c>
    </row>
    <row r="265">
      <c r="A265" s="24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6">
        <f>IF(COUNT(B265:M265)=0,"",SUM(B265:M265))</f>
        <v/>
      </c>
      <c r="O265" s="27">
        <f>IF(N265="","",IF(N265&lt;=0,"",N265/SUMIF($N$8:$N$507,"&gt;0")))</f>
        <v/>
      </c>
      <c r="P265" s="27">
        <f>IF(O265="","",SUMIF($N$8:$N$507,"&gt;="&amp;N265)/SUMIF($N$8:$N$507,"&gt;0"))</f>
        <v/>
      </c>
      <c r="Q265" s="28">
        <f>IF(O265="","",IF(SUMIF($N$8:$N$507,"&gt;"&amp;N265)/SUMIF($N$8:$N$507,"&gt;0")&lt;$B$6,"A",IF(SUMIF($N$8:$N$507,"&gt;"&amp;N265)/SUMIF($N$8:$N$507,"&gt;0")&lt;$D$6,"B","C")))</f>
        <v/>
      </c>
      <c r="R265" s="29">
        <f>IF(O265="","",IF(COUNT(B265:M265)&lt;3,"",STDEVP(B265:M265)/AVERAGE(B265:M265)))</f>
        <v/>
      </c>
      <c r="S265" s="28">
        <f>IF(R265="","",IF(R265&lt;=$G$6,"X",IF(R265&lt;=$I$6,"Y","Z")))</f>
        <v/>
      </c>
    </row>
    <row r="266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6">
        <f>IF(COUNT(B266:M266)=0,"",SUM(B266:M266))</f>
        <v/>
      </c>
      <c r="O266" s="27">
        <f>IF(N266="","",IF(N266&lt;=0,"",N266/SUMIF($N$8:$N$507,"&gt;0")))</f>
        <v/>
      </c>
      <c r="P266" s="27">
        <f>IF(O266="","",SUMIF($N$8:$N$507,"&gt;="&amp;N266)/SUMIF($N$8:$N$507,"&gt;0"))</f>
        <v/>
      </c>
      <c r="Q266" s="28">
        <f>IF(O266="","",IF(SUMIF($N$8:$N$507,"&gt;"&amp;N266)/SUMIF($N$8:$N$507,"&gt;0")&lt;$B$6,"A",IF(SUMIF($N$8:$N$507,"&gt;"&amp;N266)/SUMIF($N$8:$N$507,"&gt;0")&lt;$D$6,"B","C")))</f>
        <v/>
      </c>
      <c r="R266" s="29">
        <f>IF(O266="","",IF(COUNT(B266:M266)&lt;3,"",STDEVP(B266:M266)/AVERAGE(B266:M266)))</f>
        <v/>
      </c>
      <c r="S266" s="28">
        <f>IF(R266="","",IF(R266&lt;=$G$6,"X",IF(R266&lt;=$I$6,"Y","Z")))</f>
        <v/>
      </c>
    </row>
    <row r="267">
      <c r="A267" s="24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6">
        <f>IF(COUNT(B267:M267)=0,"",SUM(B267:M267))</f>
        <v/>
      </c>
      <c r="O267" s="27">
        <f>IF(N267="","",IF(N267&lt;=0,"",N267/SUMIF($N$8:$N$507,"&gt;0")))</f>
        <v/>
      </c>
      <c r="P267" s="27">
        <f>IF(O267="","",SUMIF($N$8:$N$507,"&gt;="&amp;N267)/SUMIF($N$8:$N$507,"&gt;0"))</f>
        <v/>
      </c>
      <c r="Q267" s="28">
        <f>IF(O267="","",IF(SUMIF($N$8:$N$507,"&gt;"&amp;N267)/SUMIF($N$8:$N$507,"&gt;0")&lt;$B$6,"A",IF(SUMIF($N$8:$N$507,"&gt;"&amp;N267)/SUMIF($N$8:$N$507,"&gt;0")&lt;$D$6,"B","C")))</f>
        <v/>
      </c>
      <c r="R267" s="29">
        <f>IF(O267="","",IF(COUNT(B267:M267)&lt;3,"",STDEVP(B267:M267)/AVERAGE(B267:M267)))</f>
        <v/>
      </c>
      <c r="S267" s="28">
        <f>IF(R267="","",IF(R267&lt;=$G$6,"X",IF(R267&lt;=$I$6,"Y","Z")))</f>
        <v/>
      </c>
    </row>
    <row r="268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6">
        <f>IF(COUNT(B268:M268)=0,"",SUM(B268:M268))</f>
        <v/>
      </c>
      <c r="O268" s="27">
        <f>IF(N268="","",IF(N268&lt;=0,"",N268/SUMIF($N$8:$N$507,"&gt;0")))</f>
        <v/>
      </c>
      <c r="P268" s="27">
        <f>IF(O268="","",SUMIF($N$8:$N$507,"&gt;="&amp;N268)/SUMIF($N$8:$N$507,"&gt;0"))</f>
        <v/>
      </c>
      <c r="Q268" s="28">
        <f>IF(O268="","",IF(SUMIF($N$8:$N$507,"&gt;"&amp;N268)/SUMIF($N$8:$N$507,"&gt;0")&lt;$B$6,"A",IF(SUMIF($N$8:$N$507,"&gt;"&amp;N268)/SUMIF($N$8:$N$507,"&gt;0")&lt;$D$6,"B","C")))</f>
        <v/>
      </c>
      <c r="R268" s="29">
        <f>IF(O268="","",IF(COUNT(B268:M268)&lt;3,"",STDEVP(B268:M268)/AVERAGE(B268:M268)))</f>
        <v/>
      </c>
      <c r="S268" s="28">
        <f>IF(R268="","",IF(R268&lt;=$G$6,"X",IF(R268&lt;=$I$6,"Y","Z")))</f>
        <v/>
      </c>
    </row>
    <row r="269">
      <c r="A269" s="24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6">
        <f>IF(COUNT(B269:M269)=0,"",SUM(B269:M269))</f>
        <v/>
      </c>
      <c r="O269" s="27">
        <f>IF(N269="","",IF(N269&lt;=0,"",N269/SUMIF($N$8:$N$507,"&gt;0")))</f>
        <v/>
      </c>
      <c r="P269" s="27">
        <f>IF(O269="","",SUMIF($N$8:$N$507,"&gt;="&amp;N269)/SUMIF($N$8:$N$507,"&gt;0"))</f>
        <v/>
      </c>
      <c r="Q269" s="28">
        <f>IF(O269="","",IF(SUMIF($N$8:$N$507,"&gt;"&amp;N269)/SUMIF($N$8:$N$507,"&gt;0")&lt;$B$6,"A",IF(SUMIF($N$8:$N$507,"&gt;"&amp;N269)/SUMIF($N$8:$N$507,"&gt;0")&lt;$D$6,"B","C")))</f>
        <v/>
      </c>
      <c r="R269" s="29">
        <f>IF(O269="","",IF(COUNT(B269:M269)&lt;3,"",STDEVP(B269:M269)/AVERAGE(B269:M269)))</f>
        <v/>
      </c>
      <c r="S269" s="28">
        <f>IF(R269="","",IF(R269&lt;=$G$6,"X",IF(R269&lt;=$I$6,"Y","Z")))</f>
        <v/>
      </c>
    </row>
    <row r="270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6">
        <f>IF(COUNT(B270:M270)=0,"",SUM(B270:M270))</f>
        <v/>
      </c>
      <c r="O270" s="27">
        <f>IF(N270="","",IF(N270&lt;=0,"",N270/SUMIF($N$8:$N$507,"&gt;0")))</f>
        <v/>
      </c>
      <c r="P270" s="27">
        <f>IF(O270="","",SUMIF($N$8:$N$507,"&gt;="&amp;N270)/SUMIF($N$8:$N$507,"&gt;0"))</f>
        <v/>
      </c>
      <c r="Q270" s="28">
        <f>IF(O270="","",IF(SUMIF($N$8:$N$507,"&gt;"&amp;N270)/SUMIF($N$8:$N$507,"&gt;0")&lt;$B$6,"A",IF(SUMIF($N$8:$N$507,"&gt;"&amp;N270)/SUMIF($N$8:$N$507,"&gt;0")&lt;$D$6,"B","C")))</f>
        <v/>
      </c>
      <c r="R270" s="29">
        <f>IF(O270="","",IF(COUNT(B270:M270)&lt;3,"",STDEVP(B270:M270)/AVERAGE(B270:M270)))</f>
        <v/>
      </c>
      <c r="S270" s="28">
        <f>IF(R270="","",IF(R270&lt;=$G$6,"X",IF(R270&lt;=$I$6,"Y","Z")))</f>
        <v/>
      </c>
    </row>
    <row r="271">
      <c r="A271" s="24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6">
        <f>IF(COUNT(B271:M271)=0,"",SUM(B271:M271))</f>
        <v/>
      </c>
      <c r="O271" s="27">
        <f>IF(N271="","",IF(N271&lt;=0,"",N271/SUMIF($N$8:$N$507,"&gt;0")))</f>
        <v/>
      </c>
      <c r="P271" s="27">
        <f>IF(O271="","",SUMIF($N$8:$N$507,"&gt;="&amp;N271)/SUMIF($N$8:$N$507,"&gt;0"))</f>
        <v/>
      </c>
      <c r="Q271" s="28">
        <f>IF(O271="","",IF(SUMIF($N$8:$N$507,"&gt;"&amp;N271)/SUMIF($N$8:$N$507,"&gt;0")&lt;$B$6,"A",IF(SUMIF($N$8:$N$507,"&gt;"&amp;N271)/SUMIF($N$8:$N$507,"&gt;0")&lt;$D$6,"B","C")))</f>
        <v/>
      </c>
      <c r="R271" s="29">
        <f>IF(O271="","",IF(COUNT(B271:M271)&lt;3,"",STDEVP(B271:M271)/AVERAGE(B271:M271)))</f>
        <v/>
      </c>
      <c r="S271" s="28">
        <f>IF(R271="","",IF(R271&lt;=$G$6,"X",IF(R271&lt;=$I$6,"Y","Z")))</f>
        <v/>
      </c>
    </row>
    <row r="27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6">
        <f>IF(COUNT(B272:M272)=0,"",SUM(B272:M272))</f>
        <v/>
      </c>
      <c r="O272" s="27">
        <f>IF(N272="","",IF(N272&lt;=0,"",N272/SUMIF($N$8:$N$507,"&gt;0")))</f>
        <v/>
      </c>
      <c r="P272" s="27">
        <f>IF(O272="","",SUMIF($N$8:$N$507,"&gt;="&amp;N272)/SUMIF($N$8:$N$507,"&gt;0"))</f>
        <v/>
      </c>
      <c r="Q272" s="28">
        <f>IF(O272="","",IF(SUMIF($N$8:$N$507,"&gt;"&amp;N272)/SUMIF($N$8:$N$507,"&gt;0")&lt;$B$6,"A",IF(SUMIF($N$8:$N$507,"&gt;"&amp;N272)/SUMIF($N$8:$N$507,"&gt;0")&lt;$D$6,"B","C")))</f>
        <v/>
      </c>
      <c r="R272" s="29">
        <f>IF(O272="","",IF(COUNT(B272:M272)&lt;3,"",STDEVP(B272:M272)/AVERAGE(B272:M272)))</f>
        <v/>
      </c>
      <c r="S272" s="28">
        <f>IF(R272="","",IF(R272&lt;=$G$6,"X",IF(R272&lt;=$I$6,"Y","Z")))</f>
        <v/>
      </c>
    </row>
    <row r="273">
      <c r="A273" s="24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6">
        <f>IF(COUNT(B273:M273)=0,"",SUM(B273:M273))</f>
        <v/>
      </c>
      <c r="O273" s="27">
        <f>IF(N273="","",IF(N273&lt;=0,"",N273/SUMIF($N$8:$N$507,"&gt;0")))</f>
        <v/>
      </c>
      <c r="P273" s="27">
        <f>IF(O273="","",SUMIF($N$8:$N$507,"&gt;="&amp;N273)/SUMIF($N$8:$N$507,"&gt;0"))</f>
        <v/>
      </c>
      <c r="Q273" s="28">
        <f>IF(O273="","",IF(SUMIF($N$8:$N$507,"&gt;"&amp;N273)/SUMIF($N$8:$N$507,"&gt;0")&lt;$B$6,"A",IF(SUMIF($N$8:$N$507,"&gt;"&amp;N273)/SUMIF($N$8:$N$507,"&gt;0")&lt;$D$6,"B","C")))</f>
        <v/>
      </c>
      <c r="R273" s="29">
        <f>IF(O273="","",IF(COUNT(B273:M273)&lt;3,"",STDEVP(B273:M273)/AVERAGE(B273:M273)))</f>
        <v/>
      </c>
      <c r="S273" s="28">
        <f>IF(R273="","",IF(R273&lt;=$G$6,"X",IF(R273&lt;=$I$6,"Y","Z")))</f>
        <v/>
      </c>
    </row>
    <row r="274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6">
        <f>IF(COUNT(B274:M274)=0,"",SUM(B274:M274))</f>
        <v/>
      </c>
      <c r="O274" s="27">
        <f>IF(N274="","",IF(N274&lt;=0,"",N274/SUMIF($N$8:$N$507,"&gt;0")))</f>
        <v/>
      </c>
      <c r="P274" s="27">
        <f>IF(O274="","",SUMIF($N$8:$N$507,"&gt;="&amp;N274)/SUMIF($N$8:$N$507,"&gt;0"))</f>
        <v/>
      </c>
      <c r="Q274" s="28">
        <f>IF(O274="","",IF(SUMIF($N$8:$N$507,"&gt;"&amp;N274)/SUMIF($N$8:$N$507,"&gt;0")&lt;$B$6,"A",IF(SUMIF($N$8:$N$507,"&gt;"&amp;N274)/SUMIF($N$8:$N$507,"&gt;0")&lt;$D$6,"B","C")))</f>
        <v/>
      </c>
      <c r="R274" s="29">
        <f>IF(O274="","",IF(COUNT(B274:M274)&lt;3,"",STDEVP(B274:M274)/AVERAGE(B274:M274)))</f>
        <v/>
      </c>
      <c r="S274" s="28">
        <f>IF(R274="","",IF(R274&lt;=$G$6,"X",IF(R274&lt;=$I$6,"Y","Z")))</f>
        <v/>
      </c>
    </row>
    <row r="275">
      <c r="A275" s="24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6">
        <f>IF(COUNT(B275:M275)=0,"",SUM(B275:M275))</f>
        <v/>
      </c>
      <c r="O275" s="27">
        <f>IF(N275="","",IF(N275&lt;=0,"",N275/SUMIF($N$8:$N$507,"&gt;0")))</f>
        <v/>
      </c>
      <c r="P275" s="27">
        <f>IF(O275="","",SUMIF($N$8:$N$507,"&gt;="&amp;N275)/SUMIF($N$8:$N$507,"&gt;0"))</f>
        <v/>
      </c>
      <c r="Q275" s="28">
        <f>IF(O275="","",IF(SUMIF($N$8:$N$507,"&gt;"&amp;N275)/SUMIF($N$8:$N$507,"&gt;0")&lt;$B$6,"A",IF(SUMIF($N$8:$N$507,"&gt;"&amp;N275)/SUMIF($N$8:$N$507,"&gt;0")&lt;$D$6,"B","C")))</f>
        <v/>
      </c>
      <c r="R275" s="29">
        <f>IF(O275="","",IF(COUNT(B275:M275)&lt;3,"",STDEVP(B275:M275)/AVERAGE(B275:M275)))</f>
        <v/>
      </c>
      <c r="S275" s="28">
        <f>IF(R275="","",IF(R275&lt;=$G$6,"X",IF(R275&lt;=$I$6,"Y","Z")))</f>
        <v/>
      </c>
    </row>
    <row r="276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6">
        <f>IF(COUNT(B276:M276)=0,"",SUM(B276:M276))</f>
        <v/>
      </c>
      <c r="O276" s="27">
        <f>IF(N276="","",IF(N276&lt;=0,"",N276/SUMIF($N$8:$N$507,"&gt;0")))</f>
        <v/>
      </c>
      <c r="P276" s="27">
        <f>IF(O276="","",SUMIF($N$8:$N$507,"&gt;="&amp;N276)/SUMIF($N$8:$N$507,"&gt;0"))</f>
        <v/>
      </c>
      <c r="Q276" s="28">
        <f>IF(O276="","",IF(SUMIF($N$8:$N$507,"&gt;"&amp;N276)/SUMIF($N$8:$N$507,"&gt;0")&lt;$B$6,"A",IF(SUMIF($N$8:$N$507,"&gt;"&amp;N276)/SUMIF($N$8:$N$507,"&gt;0")&lt;$D$6,"B","C")))</f>
        <v/>
      </c>
      <c r="R276" s="29">
        <f>IF(O276="","",IF(COUNT(B276:M276)&lt;3,"",STDEVP(B276:M276)/AVERAGE(B276:M276)))</f>
        <v/>
      </c>
      <c r="S276" s="28">
        <f>IF(R276="","",IF(R276&lt;=$G$6,"X",IF(R276&lt;=$I$6,"Y","Z")))</f>
        <v/>
      </c>
    </row>
    <row r="277">
      <c r="A277" s="24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6">
        <f>IF(COUNT(B277:M277)=0,"",SUM(B277:M277))</f>
        <v/>
      </c>
      <c r="O277" s="27">
        <f>IF(N277="","",IF(N277&lt;=0,"",N277/SUMIF($N$8:$N$507,"&gt;0")))</f>
        <v/>
      </c>
      <c r="P277" s="27">
        <f>IF(O277="","",SUMIF($N$8:$N$507,"&gt;="&amp;N277)/SUMIF($N$8:$N$507,"&gt;0"))</f>
        <v/>
      </c>
      <c r="Q277" s="28">
        <f>IF(O277="","",IF(SUMIF($N$8:$N$507,"&gt;"&amp;N277)/SUMIF($N$8:$N$507,"&gt;0")&lt;$B$6,"A",IF(SUMIF($N$8:$N$507,"&gt;"&amp;N277)/SUMIF($N$8:$N$507,"&gt;0")&lt;$D$6,"B","C")))</f>
        <v/>
      </c>
      <c r="R277" s="29">
        <f>IF(O277="","",IF(COUNT(B277:M277)&lt;3,"",STDEVP(B277:M277)/AVERAGE(B277:M277)))</f>
        <v/>
      </c>
      <c r="S277" s="28">
        <f>IF(R277="","",IF(R277&lt;=$G$6,"X",IF(R277&lt;=$I$6,"Y","Z")))</f>
        <v/>
      </c>
    </row>
    <row r="278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6">
        <f>IF(COUNT(B278:M278)=0,"",SUM(B278:M278))</f>
        <v/>
      </c>
      <c r="O278" s="27">
        <f>IF(N278="","",IF(N278&lt;=0,"",N278/SUMIF($N$8:$N$507,"&gt;0")))</f>
        <v/>
      </c>
      <c r="P278" s="27">
        <f>IF(O278="","",SUMIF($N$8:$N$507,"&gt;="&amp;N278)/SUMIF($N$8:$N$507,"&gt;0"))</f>
        <v/>
      </c>
      <c r="Q278" s="28">
        <f>IF(O278="","",IF(SUMIF($N$8:$N$507,"&gt;"&amp;N278)/SUMIF($N$8:$N$507,"&gt;0")&lt;$B$6,"A",IF(SUMIF($N$8:$N$507,"&gt;"&amp;N278)/SUMIF($N$8:$N$507,"&gt;0")&lt;$D$6,"B","C")))</f>
        <v/>
      </c>
      <c r="R278" s="29">
        <f>IF(O278="","",IF(COUNT(B278:M278)&lt;3,"",STDEVP(B278:M278)/AVERAGE(B278:M278)))</f>
        <v/>
      </c>
      <c r="S278" s="28">
        <f>IF(R278="","",IF(R278&lt;=$G$6,"X",IF(R278&lt;=$I$6,"Y","Z")))</f>
        <v/>
      </c>
    </row>
    <row r="279">
      <c r="A279" s="24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6">
        <f>IF(COUNT(B279:M279)=0,"",SUM(B279:M279))</f>
        <v/>
      </c>
      <c r="O279" s="27">
        <f>IF(N279="","",IF(N279&lt;=0,"",N279/SUMIF($N$8:$N$507,"&gt;0")))</f>
        <v/>
      </c>
      <c r="P279" s="27">
        <f>IF(O279="","",SUMIF($N$8:$N$507,"&gt;="&amp;N279)/SUMIF($N$8:$N$507,"&gt;0"))</f>
        <v/>
      </c>
      <c r="Q279" s="28">
        <f>IF(O279="","",IF(SUMIF($N$8:$N$507,"&gt;"&amp;N279)/SUMIF($N$8:$N$507,"&gt;0")&lt;$B$6,"A",IF(SUMIF($N$8:$N$507,"&gt;"&amp;N279)/SUMIF($N$8:$N$507,"&gt;0")&lt;$D$6,"B","C")))</f>
        <v/>
      </c>
      <c r="R279" s="29">
        <f>IF(O279="","",IF(COUNT(B279:M279)&lt;3,"",STDEVP(B279:M279)/AVERAGE(B279:M279)))</f>
        <v/>
      </c>
      <c r="S279" s="28">
        <f>IF(R279="","",IF(R279&lt;=$G$6,"X",IF(R279&lt;=$I$6,"Y","Z")))</f>
        <v/>
      </c>
    </row>
    <row r="280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6">
        <f>IF(COUNT(B280:M280)=0,"",SUM(B280:M280))</f>
        <v/>
      </c>
      <c r="O280" s="27">
        <f>IF(N280="","",IF(N280&lt;=0,"",N280/SUMIF($N$8:$N$507,"&gt;0")))</f>
        <v/>
      </c>
      <c r="P280" s="27">
        <f>IF(O280="","",SUMIF($N$8:$N$507,"&gt;="&amp;N280)/SUMIF($N$8:$N$507,"&gt;0"))</f>
        <v/>
      </c>
      <c r="Q280" s="28">
        <f>IF(O280="","",IF(SUMIF($N$8:$N$507,"&gt;"&amp;N280)/SUMIF($N$8:$N$507,"&gt;0")&lt;$B$6,"A",IF(SUMIF($N$8:$N$507,"&gt;"&amp;N280)/SUMIF($N$8:$N$507,"&gt;0")&lt;$D$6,"B","C")))</f>
        <v/>
      </c>
      <c r="R280" s="29">
        <f>IF(O280="","",IF(COUNT(B280:M280)&lt;3,"",STDEVP(B280:M280)/AVERAGE(B280:M280)))</f>
        <v/>
      </c>
      <c r="S280" s="28">
        <f>IF(R280="","",IF(R280&lt;=$G$6,"X",IF(R280&lt;=$I$6,"Y","Z")))</f>
        <v/>
      </c>
    </row>
    <row r="281">
      <c r="A281" s="24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6">
        <f>IF(COUNT(B281:M281)=0,"",SUM(B281:M281))</f>
        <v/>
      </c>
      <c r="O281" s="27">
        <f>IF(N281="","",IF(N281&lt;=0,"",N281/SUMIF($N$8:$N$507,"&gt;0")))</f>
        <v/>
      </c>
      <c r="P281" s="27">
        <f>IF(O281="","",SUMIF($N$8:$N$507,"&gt;="&amp;N281)/SUMIF($N$8:$N$507,"&gt;0"))</f>
        <v/>
      </c>
      <c r="Q281" s="28">
        <f>IF(O281="","",IF(SUMIF($N$8:$N$507,"&gt;"&amp;N281)/SUMIF($N$8:$N$507,"&gt;0")&lt;$B$6,"A",IF(SUMIF($N$8:$N$507,"&gt;"&amp;N281)/SUMIF($N$8:$N$507,"&gt;0")&lt;$D$6,"B","C")))</f>
        <v/>
      </c>
      <c r="R281" s="29">
        <f>IF(O281="","",IF(COUNT(B281:M281)&lt;3,"",STDEVP(B281:M281)/AVERAGE(B281:M281)))</f>
        <v/>
      </c>
      <c r="S281" s="28">
        <f>IF(R281="","",IF(R281&lt;=$G$6,"X",IF(R281&lt;=$I$6,"Y","Z")))</f>
        <v/>
      </c>
    </row>
    <row r="28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6">
        <f>IF(COUNT(B282:M282)=0,"",SUM(B282:M282))</f>
        <v/>
      </c>
      <c r="O282" s="27">
        <f>IF(N282="","",IF(N282&lt;=0,"",N282/SUMIF($N$8:$N$507,"&gt;0")))</f>
        <v/>
      </c>
      <c r="P282" s="27">
        <f>IF(O282="","",SUMIF($N$8:$N$507,"&gt;="&amp;N282)/SUMIF($N$8:$N$507,"&gt;0"))</f>
        <v/>
      </c>
      <c r="Q282" s="28">
        <f>IF(O282="","",IF(SUMIF($N$8:$N$507,"&gt;"&amp;N282)/SUMIF($N$8:$N$507,"&gt;0")&lt;$B$6,"A",IF(SUMIF($N$8:$N$507,"&gt;"&amp;N282)/SUMIF($N$8:$N$507,"&gt;0")&lt;$D$6,"B","C")))</f>
        <v/>
      </c>
      <c r="R282" s="29">
        <f>IF(O282="","",IF(COUNT(B282:M282)&lt;3,"",STDEVP(B282:M282)/AVERAGE(B282:M282)))</f>
        <v/>
      </c>
      <c r="S282" s="28">
        <f>IF(R282="","",IF(R282&lt;=$G$6,"X",IF(R282&lt;=$I$6,"Y","Z")))</f>
        <v/>
      </c>
    </row>
    <row r="283">
      <c r="A283" s="24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6">
        <f>IF(COUNT(B283:M283)=0,"",SUM(B283:M283))</f>
        <v/>
      </c>
      <c r="O283" s="27">
        <f>IF(N283="","",IF(N283&lt;=0,"",N283/SUMIF($N$8:$N$507,"&gt;0")))</f>
        <v/>
      </c>
      <c r="P283" s="27">
        <f>IF(O283="","",SUMIF($N$8:$N$507,"&gt;="&amp;N283)/SUMIF($N$8:$N$507,"&gt;0"))</f>
        <v/>
      </c>
      <c r="Q283" s="28">
        <f>IF(O283="","",IF(SUMIF($N$8:$N$507,"&gt;"&amp;N283)/SUMIF($N$8:$N$507,"&gt;0")&lt;$B$6,"A",IF(SUMIF($N$8:$N$507,"&gt;"&amp;N283)/SUMIF($N$8:$N$507,"&gt;0")&lt;$D$6,"B","C")))</f>
        <v/>
      </c>
      <c r="R283" s="29">
        <f>IF(O283="","",IF(COUNT(B283:M283)&lt;3,"",STDEVP(B283:M283)/AVERAGE(B283:M283)))</f>
        <v/>
      </c>
      <c r="S283" s="28">
        <f>IF(R283="","",IF(R283&lt;=$G$6,"X",IF(R283&lt;=$I$6,"Y","Z")))</f>
        <v/>
      </c>
    </row>
    <row r="284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6">
        <f>IF(COUNT(B284:M284)=0,"",SUM(B284:M284))</f>
        <v/>
      </c>
      <c r="O284" s="27">
        <f>IF(N284="","",IF(N284&lt;=0,"",N284/SUMIF($N$8:$N$507,"&gt;0")))</f>
        <v/>
      </c>
      <c r="P284" s="27">
        <f>IF(O284="","",SUMIF($N$8:$N$507,"&gt;="&amp;N284)/SUMIF($N$8:$N$507,"&gt;0"))</f>
        <v/>
      </c>
      <c r="Q284" s="28">
        <f>IF(O284="","",IF(SUMIF($N$8:$N$507,"&gt;"&amp;N284)/SUMIF($N$8:$N$507,"&gt;0")&lt;$B$6,"A",IF(SUMIF($N$8:$N$507,"&gt;"&amp;N284)/SUMIF($N$8:$N$507,"&gt;0")&lt;$D$6,"B","C")))</f>
        <v/>
      </c>
      <c r="R284" s="29">
        <f>IF(O284="","",IF(COUNT(B284:M284)&lt;3,"",STDEVP(B284:M284)/AVERAGE(B284:M284)))</f>
        <v/>
      </c>
      <c r="S284" s="28">
        <f>IF(R284="","",IF(R284&lt;=$G$6,"X",IF(R284&lt;=$I$6,"Y","Z")))</f>
        <v/>
      </c>
    </row>
    <row r="285">
      <c r="A285" s="24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6">
        <f>IF(COUNT(B285:M285)=0,"",SUM(B285:M285))</f>
        <v/>
      </c>
      <c r="O285" s="27">
        <f>IF(N285="","",IF(N285&lt;=0,"",N285/SUMIF($N$8:$N$507,"&gt;0")))</f>
        <v/>
      </c>
      <c r="P285" s="27">
        <f>IF(O285="","",SUMIF($N$8:$N$507,"&gt;="&amp;N285)/SUMIF($N$8:$N$507,"&gt;0"))</f>
        <v/>
      </c>
      <c r="Q285" s="28">
        <f>IF(O285="","",IF(SUMIF($N$8:$N$507,"&gt;"&amp;N285)/SUMIF($N$8:$N$507,"&gt;0")&lt;$B$6,"A",IF(SUMIF($N$8:$N$507,"&gt;"&amp;N285)/SUMIF($N$8:$N$507,"&gt;0")&lt;$D$6,"B","C")))</f>
        <v/>
      </c>
      <c r="R285" s="29">
        <f>IF(O285="","",IF(COUNT(B285:M285)&lt;3,"",STDEVP(B285:M285)/AVERAGE(B285:M285)))</f>
        <v/>
      </c>
      <c r="S285" s="28">
        <f>IF(R285="","",IF(R285&lt;=$G$6,"X",IF(R285&lt;=$I$6,"Y","Z")))</f>
        <v/>
      </c>
    </row>
    <row r="286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6">
        <f>IF(COUNT(B286:M286)=0,"",SUM(B286:M286))</f>
        <v/>
      </c>
      <c r="O286" s="27">
        <f>IF(N286="","",IF(N286&lt;=0,"",N286/SUMIF($N$8:$N$507,"&gt;0")))</f>
        <v/>
      </c>
      <c r="P286" s="27">
        <f>IF(O286="","",SUMIF($N$8:$N$507,"&gt;="&amp;N286)/SUMIF($N$8:$N$507,"&gt;0"))</f>
        <v/>
      </c>
      <c r="Q286" s="28">
        <f>IF(O286="","",IF(SUMIF($N$8:$N$507,"&gt;"&amp;N286)/SUMIF($N$8:$N$507,"&gt;0")&lt;$B$6,"A",IF(SUMIF($N$8:$N$507,"&gt;"&amp;N286)/SUMIF($N$8:$N$507,"&gt;0")&lt;$D$6,"B","C")))</f>
        <v/>
      </c>
      <c r="R286" s="29">
        <f>IF(O286="","",IF(COUNT(B286:M286)&lt;3,"",STDEVP(B286:M286)/AVERAGE(B286:M286)))</f>
        <v/>
      </c>
      <c r="S286" s="28">
        <f>IF(R286="","",IF(R286&lt;=$G$6,"X",IF(R286&lt;=$I$6,"Y","Z")))</f>
        <v/>
      </c>
    </row>
    <row r="287">
      <c r="A287" s="24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6">
        <f>IF(COUNT(B287:M287)=0,"",SUM(B287:M287))</f>
        <v/>
      </c>
      <c r="O287" s="27">
        <f>IF(N287="","",IF(N287&lt;=0,"",N287/SUMIF($N$8:$N$507,"&gt;0")))</f>
        <v/>
      </c>
      <c r="P287" s="27">
        <f>IF(O287="","",SUMIF($N$8:$N$507,"&gt;="&amp;N287)/SUMIF($N$8:$N$507,"&gt;0"))</f>
        <v/>
      </c>
      <c r="Q287" s="28">
        <f>IF(O287="","",IF(SUMIF($N$8:$N$507,"&gt;"&amp;N287)/SUMIF($N$8:$N$507,"&gt;0")&lt;$B$6,"A",IF(SUMIF($N$8:$N$507,"&gt;"&amp;N287)/SUMIF($N$8:$N$507,"&gt;0")&lt;$D$6,"B","C")))</f>
        <v/>
      </c>
      <c r="R287" s="29">
        <f>IF(O287="","",IF(COUNT(B287:M287)&lt;3,"",STDEVP(B287:M287)/AVERAGE(B287:M287)))</f>
        <v/>
      </c>
      <c r="S287" s="28">
        <f>IF(R287="","",IF(R287&lt;=$G$6,"X",IF(R287&lt;=$I$6,"Y","Z")))</f>
        <v/>
      </c>
    </row>
    <row r="288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6">
        <f>IF(COUNT(B288:M288)=0,"",SUM(B288:M288))</f>
        <v/>
      </c>
      <c r="O288" s="27">
        <f>IF(N288="","",IF(N288&lt;=0,"",N288/SUMIF($N$8:$N$507,"&gt;0")))</f>
        <v/>
      </c>
      <c r="P288" s="27">
        <f>IF(O288="","",SUMIF($N$8:$N$507,"&gt;="&amp;N288)/SUMIF($N$8:$N$507,"&gt;0"))</f>
        <v/>
      </c>
      <c r="Q288" s="28">
        <f>IF(O288="","",IF(SUMIF($N$8:$N$507,"&gt;"&amp;N288)/SUMIF($N$8:$N$507,"&gt;0")&lt;$B$6,"A",IF(SUMIF($N$8:$N$507,"&gt;"&amp;N288)/SUMIF($N$8:$N$507,"&gt;0")&lt;$D$6,"B","C")))</f>
        <v/>
      </c>
      <c r="R288" s="29">
        <f>IF(O288="","",IF(COUNT(B288:M288)&lt;3,"",STDEVP(B288:M288)/AVERAGE(B288:M288)))</f>
        <v/>
      </c>
      <c r="S288" s="28">
        <f>IF(R288="","",IF(R288&lt;=$G$6,"X",IF(R288&lt;=$I$6,"Y","Z")))</f>
        <v/>
      </c>
    </row>
    <row r="289">
      <c r="A289" s="24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6">
        <f>IF(COUNT(B289:M289)=0,"",SUM(B289:M289))</f>
        <v/>
      </c>
      <c r="O289" s="27">
        <f>IF(N289="","",IF(N289&lt;=0,"",N289/SUMIF($N$8:$N$507,"&gt;0")))</f>
        <v/>
      </c>
      <c r="P289" s="27">
        <f>IF(O289="","",SUMIF($N$8:$N$507,"&gt;="&amp;N289)/SUMIF($N$8:$N$507,"&gt;0"))</f>
        <v/>
      </c>
      <c r="Q289" s="28">
        <f>IF(O289="","",IF(SUMIF($N$8:$N$507,"&gt;"&amp;N289)/SUMIF($N$8:$N$507,"&gt;0")&lt;$B$6,"A",IF(SUMIF($N$8:$N$507,"&gt;"&amp;N289)/SUMIF($N$8:$N$507,"&gt;0")&lt;$D$6,"B","C")))</f>
        <v/>
      </c>
      <c r="R289" s="29">
        <f>IF(O289="","",IF(COUNT(B289:M289)&lt;3,"",STDEVP(B289:M289)/AVERAGE(B289:M289)))</f>
        <v/>
      </c>
      <c r="S289" s="28">
        <f>IF(R289="","",IF(R289&lt;=$G$6,"X",IF(R289&lt;=$I$6,"Y","Z")))</f>
        <v/>
      </c>
    </row>
    <row r="290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6">
        <f>IF(COUNT(B290:M290)=0,"",SUM(B290:M290))</f>
        <v/>
      </c>
      <c r="O290" s="27">
        <f>IF(N290="","",IF(N290&lt;=0,"",N290/SUMIF($N$8:$N$507,"&gt;0")))</f>
        <v/>
      </c>
      <c r="P290" s="27">
        <f>IF(O290="","",SUMIF($N$8:$N$507,"&gt;="&amp;N290)/SUMIF($N$8:$N$507,"&gt;0"))</f>
        <v/>
      </c>
      <c r="Q290" s="28">
        <f>IF(O290="","",IF(SUMIF($N$8:$N$507,"&gt;"&amp;N290)/SUMIF($N$8:$N$507,"&gt;0")&lt;$B$6,"A",IF(SUMIF($N$8:$N$507,"&gt;"&amp;N290)/SUMIF($N$8:$N$507,"&gt;0")&lt;$D$6,"B","C")))</f>
        <v/>
      </c>
      <c r="R290" s="29">
        <f>IF(O290="","",IF(COUNT(B290:M290)&lt;3,"",STDEVP(B290:M290)/AVERAGE(B290:M290)))</f>
        <v/>
      </c>
      <c r="S290" s="28">
        <f>IF(R290="","",IF(R290&lt;=$G$6,"X",IF(R290&lt;=$I$6,"Y","Z")))</f>
        <v/>
      </c>
    </row>
    <row r="291">
      <c r="A291" s="24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6">
        <f>IF(COUNT(B291:M291)=0,"",SUM(B291:M291))</f>
        <v/>
      </c>
      <c r="O291" s="27">
        <f>IF(N291="","",IF(N291&lt;=0,"",N291/SUMIF($N$8:$N$507,"&gt;0")))</f>
        <v/>
      </c>
      <c r="P291" s="27">
        <f>IF(O291="","",SUMIF($N$8:$N$507,"&gt;="&amp;N291)/SUMIF($N$8:$N$507,"&gt;0"))</f>
        <v/>
      </c>
      <c r="Q291" s="28">
        <f>IF(O291="","",IF(SUMIF($N$8:$N$507,"&gt;"&amp;N291)/SUMIF($N$8:$N$507,"&gt;0")&lt;$B$6,"A",IF(SUMIF($N$8:$N$507,"&gt;"&amp;N291)/SUMIF($N$8:$N$507,"&gt;0")&lt;$D$6,"B","C")))</f>
        <v/>
      </c>
      <c r="R291" s="29">
        <f>IF(O291="","",IF(COUNT(B291:M291)&lt;3,"",STDEVP(B291:M291)/AVERAGE(B291:M291)))</f>
        <v/>
      </c>
      <c r="S291" s="28">
        <f>IF(R291="","",IF(R291&lt;=$G$6,"X",IF(R291&lt;=$I$6,"Y","Z")))</f>
        <v/>
      </c>
    </row>
    <row r="29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6">
        <f>IF(COUNT(B292:M292)=0,"",SUM(B292:M292))</f>
        <v/>
      </c>
      <c r="O292" s="27">
        <f>IF(N292="","",IF(N292&lt;=0,"",N292/SUMIF($N$8:$N$507,"&gt;0")))</f>
        <v/>
      </c>
      <c r="P292" s="27">
        <f>IF(O292="","",SUMIF($N$8:$N$507,"&gt;="&amp;N292)/SUMIF($N$8:$N$507,"&gt;0"))</f>
        <v/>
      </c>
      <c r="Q292" s="28">
        <f>IF(O292="","",IF(SUMIF($N$8:$N$507,"&gt;"&amp;N292)/SUMIF($N$8:$N$507,"&gt;0")&lt;$B$6,"A",IF(SUMIF($N$8:$N$507,"&gt;"&amp;N292)/SUMIF($N$8:$N$507,"&gt;0")&lt;$D$6,"B","C")))</f>
        <v/>
      </c>
      <c r="R292" s="29">
        <f>IF(O292="","",IF(COUNT(B292:M292)&lt;3,"",STDEVP(B292:M292)/AVERAGE(B292:M292)))</f>
        <v/>
      </c>
      <c r="S292" s="28">
        <f>IF(R292="","",IF(R292&lt;=$G$6,"X",IF(R292&lt;=$I$6,"Y","Z")))</f>
        <v/>
      </c>
    </row>
    <row r="293">
      <c r="A293" s="24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6">
        <f>IF(COUNT(B293:M293)=0,"",SUM(B293:M293))</f>
        <v/>
      </c>
      <c r="O293" s="27">
        <f>IF(N293="","",IF(N293&lt;=0,"",N293/SUMIF($N$8:$N$507,"&gt;0")))</f>
        <v/>
      </c>
      <c r="P293" s="27">
        <f>IF(O293="","",SUMIF($N$8:$N$507,"&gt;="&amp;N293)/SUMIF($N$8:$N$507,"&gt;0"))</f>
        <v/>
      </c>
      <c r="Q293" s="28">
        <f>IF(O293="","",IF(SUMIF($N$8:$N$507,"&gt;"&amp;N293)/SUMIF($N$8:$N$507,"&gt;0")&lt;$B$6,"A",IF(SUMIF($N$8:$N$507,"&gt;"&amp;N293)/SUMIF($N$8:$N$507,"&gt;0")&lt;$D$6,"B","C")))</f>
        <v/>
      </c>
      <c r="R293" s="29">
        <f>IF(O293="","",IF(COUNT(B293:M293)&lt;3,"",STDEVP(B293:M293)/AVERAGE(B293:M293)))</f>
        <v/>
      </c>
      <c r="S293" s="28">
        <f>IF(R293="","",IF(R293&lt;=$G$6,"X",IF(R293&lt;=$I$6,"Y","Z")))</f>
        <v/>
      </c>
    </row>
    <row r="294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6">
        <f>IF(COUNT(B294:M294)=0,"",SUM(B294:M294))</f>
        <v/>
      </c>
      <c r="O294" s="27">
        <f>IF(N294="","",IF(N294&lt;=0,"",N294/SUMIF($N$8:$N$507,"&gt;0")))</f>
        <v/>
      </c>
      <c r="P294" s="27">
        <f>IF(O294="","",SUMIF($N$8:$N$507,"&gt;="&amp;N294)/SUMIF($N$8:$N$507,"&gt;0"))</f>
        <v/>
      </c>
      <c r="Q294" s="28">
        <f>IF(O294="","",IF(SUMIF($N$8:$N$507,"&gt;"&amp;N294)/SUMIF($N$8:$N$507,"&gt;0")&lt;$B$6,"A",IF(SUMIF($N$8:$N$507,"&gt;"&amp;N294)/SUMIF($N$8:$N$507,"&gt;0")&lt;$D$6,"B","C")))</f>
        <v/>
      </c>
      <c r="R294" s="29">
        <f>IF(O294="","",IF(COUNT(B294:M294)&lt;3,"",STDEVP(B294:M294)/AVERAGE(B294:M294)))</f>
        <v/>
      </c>
      <c r="S294" s="28">
        <f>IF(R294="","",IF(R294&lt;=$G$6,"X",IF(R294&lt;=$I$6,"Y","Z")))</f>
        <v/>
      </c>
    </row>
    <row r="295">
      <c r="A295" s="24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6">
        <f>IF(COUNT(B295:M295)=0,"",SUM(B295:M295))</f>
        <v/>
      </c>
      <c r="O295" s="27">
        <f>IF(N295="","",IF(N295&lt;=0,"",N295/SUMIF($N$8:$N$507,"&gt;0")))</f>
        <v/>
      </c>
      <c r="P295" s="27">
        <f>IF(O295="","",SUMIF($N$8:$N$507,"&gt;="&amp;N295)/SUMIF($N$8:$N$507,"&gt;0"))</f>
        <v/>
      </c>
      <c r="Q295" s="28">
        <f>IF(O295="","",IF(SUMIF($N$8:$N$507,"&gt;"&amp;N295)/SUMIF($N$8:$N$507,"&gt;0")&lt;$B$6,"A",IF(SUMIF($N$8:$N$507,"&gt;"&amp;N295)/SUMIF($N$8:$N$507,"&gt;0")&lt;$D$6,"B","C")))</f>
        <v/>
      </c>
      <c r="R295" s="29">
        <f>IF(O295="","",IF(COUNT(B295:M295)&lt;3,"",STDEVP(B295:M295)/AVERAGE(B295:M295)))</f>
        <v/>
      </c>
      <c r="S295" s="28">
        <f>IF(R295="","",IF(R295&lt;=$G$6,"X",IF(R295&lt;=$I$6,"Y","Z")))</f>
        <v/>
      </c>
    </row>
    <row r="296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6">
        <f>IF(COUNT(B296:M296)=0,"",SUM(B296:M296))</f>
        <v/>
      </c>
      <c r="O296" s="27">
        <f>IF(N296="","",IF(N296&lt;=0,"",N296/SUMIF($N$8:$N$507,"&gt;0")))</f>
        <v/>
      </c>
      <c r="P296" s="27">
        <f>IF(O296="","",SUMIF($N$8:$N$507,"&gt;="&amp;N296)/SUMIF($N$8:$N$507,"&gt;0"))</f>
        <v/>
      </c>
      <c r="Q296" s="28">
        <f>IF(O296="","",IF(SUMIF($N$8:$N$507,"&gt;"&amp;N296)/SUMIF($N$8:$N$507,"&gt;0")&lt;$B$6,"A",IF(SUMIF($N$8:$N$507,"&gt;"&amp;N296)/SUMIF($N$8:$N$507,"&gt;0")&lt;$D$6,"B","C")))</f>
        <v/>
      </c>
      <c r="R296" s="29">
        <f>IF(O296="","",IF(COUNT(B296:M296)&lt;3,"",STDEVP(B296:M296)/AVERAGE(B296:M296)))</f>
        <v/>
      </c>
      <c r="S296" s="28">
        <f>IF(R296="","",IF(R296&lt;=$G$6,"X",IF(R296&lt;=$I$6,"Y","Z")))</f>
        <v/>
      </c>
    </row>
    <row r="297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6">
        <f>IF(COUNT(B297:M297)=0,"",SUM(B297:M297))</f>
        <v/>
      </c>
      <c r="O297" s="27">
        <f>IF(N297="","",IF(N297&lt;=0,"",N297/SUMIF($N$8:$N$507,"&gt;0")))</f>
        <v/>
      </c>
      <c r="P297" s="27">
        <f>IF(O297="","",SUMIF($N$8:$N$507,"&gt;="&amp;N297)/SUMIF($N$8:$N$507,"&gt;0"))</f>
        <v/>
      </c>
      <c r="Q297" s="28">
        <f>IF(O297="","",IF(SUMIF($N$8:$N$507,"&gt;"&amp;N297)/SUMIF($N$8:$N$507,"&gt;0")&lt;$B$6,"A",IF(SUMIF($N$8:$N$507,"&gt;"&amp;N297)/SUMIF($N$8:$N$507,"&gt;0")&lt;$D$6,"B","C")))</f>
        <v/>
      </c>
      <c r="R297" s="29">
        <f>IF(O297="","",IF(COUNT(B297:M297)&lt;3,"",STDEVP(B297:M297)/AVERAGE(B297:M297)))</f>
        <v/>
      </c>
      <c r="S297" s="28">
        <f>IF(R297="","",IF(R297&lt;=$G$6,"X",IF(R297&lt;=$I$6,"Y","Z")))</f>
        <v/>
      </c>
    </row>
    <row r="298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6">
        <f>IF(COUNT(B298:M298)=0,"",SUM(B298:M298))</f>
        <v/>
      </c>
      <c r="O298" s="27">
        <f>IF(N298="","",IF(N298&lt;=0,"",N298/SUMIF($N$8:$N$507,"&gt;0")))</f>
        <v/>
      </c>
      <c r="P298" s="27">
        <f>IF(O298="","",SUMIF($N$8:$N$507,"&gt;="&amp;N298)/SUMIF($N$8:$N$507,"&gt;0"))</f>
        <v/>
      </c>
      <c r="Q298" s="28">
        <f>IF(O298="","",IF(SUMIF($N$8:$N$507,"&gt;"&amp;N298)/SUMIF($N$8:$N$507,"&gt;0")&lt;$B$6,"A",IF(SUMIF($N$8:$N$507,"&gt;"&amp;N298)/SUMIF($N$8:$N$507,"&gt;0")&lt;$D$6,"B","C")))</f>
        <v/>
      </c>
      <c r="R298" s="29">
        <f>IF(O298="","",IF(COUNT(B298:M298)&lt;3,"",STDEVP(B298:M298)/AVERAGE(B298:M298)))</f>
        <v/>
      </c>
      <c r="S298" s="28">
        <f>IF(R298="","",IF(R298&lt;=$G$6,"X",IF(R298&lt;=$I$6,"Y","Z")))</f>
        <v/>
      </c>
    </row>
    <row r="299">
      <c r="A299" s="24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6">
        <f>IF(COUNT(B299:M299)=0,"",SUM(B299:M299))</f>
        <v/>
      </c>
      <c r="O299" s="27">
        <f>IF(N299="","",IF(N299&lt;=0,"",N299/SUMIF($N$8:$N$507,"&gt;0")))</f>
        <v/>
      </c>
      <c r="P299" s="27">
        <f>IF(O299="","",SUMIF($N$8:$N$507,"&gt;="&amp;N299)/SUMIF($N$8:$N$507,"&gt;0"))</f>
        <v/>
      </c>
      <c r="Q299" s="28">
        <f>IF(O299="","",IF(SUMIF($N$8:$N$507,"&gt;"&amp;N299)/SUMIF($N$8:$N$507,"&gt;0")&lt;$B$6,"A",IF(SUMIF($N$8:$N$507,"&gt;"&amp;N299)/SUMIF($N$8:$N$507,"&gt;0")&lt;$D$6,"B","C")))</f>
        <v/>
      </c>
      <c r="R299" s="29">
        <f>IF(O299="","",IF(COUNT(B299:M299)&lt;3,"",STDEVP(B299:M299)/AVERAGE(B299:M299)))</f>
        <v/>
      </c>
      <c r="S299" s="28">
        <f>IF(R299="","",IF(R299&lt;=$G$6,"X",IF(R299&lt;=$I$6,"Y","Z")))</f>
        <v/>
      </c>
    </row>
    <row r="300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6">
        <f>IF(COUNT(B300:M300)=0,"",SUM(B300:M300))</f>
        <v/>
      </c>
      <c r="O300" s="27">
        <f>IF(N300="","",IF(N300&lt;=0,"",N300/SUMIF($N$8:$N$507,"&gt;0")))</f>
        <v/>
      </c>
      <c r="P300" s="27">
        <f>IF(O300="","",SUMIF($N$8:$N$507,"&gt;="&amp;N300)/SUMIF($N$8:$N$507,"&gt;0"))</f>
        <v/>
      </c>
      <c r="Q300" s="28">
        <f>IF(O300="","",IF(SUMIF($N$8:$N$507,"&gt;"&amp;N300)/SUMIF($N$8:$N$507,"&gt;0")&lt;$B$6,"A",IF(SUMIF($N$8:$N$507,"&gt;"&amp;N300)/SUMIF($N$8:$N$507,"&gt;0")&lt;$D$6,"B","C")))</f>
        <v/>
      </c>
      <c r="R300" s="29">
        <f>IF(O300="","",IF(COUNT(B300:M300)&lt;3,"",STDEVP(B300:M300)/AVERAGE(B300:M300)))</f>
        <v/>
      </c>
      <c r="S300" s="28">
        <f>IF(R300="","",IF(R300&lt;=$G$6,"X",IF(R300&lt;=$I$6,"Y","Z")))</f>
        <v/>
      </c>
    </row>
    <row r="301">
      <c r="A301" s="24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6">
        <f>IF(COUNT(B301:M301)=0,"",SUM(B301:M301))</f>
        <v/>
      </c>
      <c r="O301" s="27">
        <f>IF(N301="","",IF(N301&lt;=0,"",N301/SUMIF($N$8:$N$507,"&gt;0")))</f>
        <v/>
      </c>
      <c r="P301" s="27">
        <f>IF(O301="","",SUMIF($N$8:$N$507,"&gt;="&amp;N301)/SUMIF($N$8:$N$507,"&gt;0"))</f>
        <v/>
      </c>
      <c r="Q301" s="28">
        <f>IF(O301="","",IF(SUMIF($N$8:$N$507,"&gt;"&amp;N301)/SUMIF($N$8:$N$507,"&gt;0")&lt;$B$6,"A",IF(SUMIF($N$8:$N$507,"&gt;"&amp;N301)/SUMIF($N$8:$N$507,"&gt;0")&lt;$D$6,"B","C")))</f>
        <v/>
      </c>
      <c r="R301" s="29">
        <f>IF(O301="","",IF(COUNT(B301:M301)&lt;3,"",STDEVP(B301:M301)/AVERAGE(B301:M301)))</f>
        <v/>
      </c>
      <c r="S301" s="28">
        <f>IF(R301="","",IF(R301&lt;=$G$6,"X",IF(R301&lt;=$I$6,"Y","Z")))</f>
        <v/>
      </c>
    </row>
    <row r="30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6">
        <f>IF(COUNT(B302:M302)=0,"",SUM(B302:M302))</f>
        <v/>
      </c>
      <c r="O302" s="27">
        <f>IF(N302="","",IF(N302&lt;=0,"",N302/SUMIF($N$8:$N$507,"&gt;0")))</f>
        <v/>
      </c>
      <c r="P302" s="27">
        <f>IF(O302="","",SUMIF($N$8:$N$507,"&gt;="&amp;N302)/SUMIF($N$8:$N$507,"&gt;0"))</f>
        <v/>
      </c>
      <c r="Q302" s="28">
        <f>IF(O302="","",IF(SUMIF($N$8:$N$507,"&gt;"&amp;N302)/SUMIF($N$8:$N$507,"&gt;0")&lt;$B$6,"A",IF(SUMIF($N$8:$N$507,"&gt;"&amp;N302)/SUMIF($N$8:$N$507,"&gt;0")&lt;$D$6,"B","C")))</f>
        <v/>
      </c>
      <c r="R302" s="29">
        <f>IF(O302="","",IF(COUNT(B302:M302)&lt;3,"",STDEVP(B302:M302)/AVERAGE(B302:M302)))</f>
        <v/>
      </c>
      <c r="S302" s="28">
        <f>IF(R302="","",IF(R302&lt;=$G$6,"X",IF(R302&lt;=$I$6,"Y","Z")))</f>
        <v/>
      </c>
    </row>
    <row r="303">
      <c r="A303" s="24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6">
        <f>IF(COUNT(B303:M303)=0,"",SUM(B303:M303))</f>
        <v/>
      </c>
      <c r="O303" s="27">
        <f>IF(N303="","",IF(N303&lt;=0,"",N303/SUMIF($N$8:$N$507,"&gt;0")))</f>
        <v/>
      </c>
      <c r="P303" s="27">
        <f>IF(O303="","",SUMIF($N$8:$N$507,"&gt;="&amp;N303)/SUMIF($N$8:$N$507,"&gt;0"))</f>
        <v/>
      </c>
      <c r="Q303" s="28">
        <f>IF(O303="","",IF(SUMIF($N$8:$N$507,"&gt;"&amp;N303)/SUMIF($N$8:$N$507,"&gt;0")&lt;$B$6,"A",IF(SUMIF($N$8:$N$507,"&gt;"&amp;N303)/SUMIF($N$8:$N$507,"&gt;0")&lt;$D$6,"B","C")))</f>
        <v/>
      </c>
      <c r="R303" s="29">
        <f>IF(O303="","",IF(COUNT(B303:M303)&lt;3,"",STDEVP(B303:M303)/AVERAGE(B303:M303)))</f>
        <v/>
      </c>
      <c r="S303" s="28">
        <f>IF(R303="","",IF(R303&lt;=$G$6,"X",IF(R303&lt;=$I$6,"Y","Z")))</f>
        <v/>
      </c>
    </row>
    <row r="304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6">
        <f>IF(COUNT(B304:M304)=0,"",SUM(B304:M304))</f>
        <v/>
      </c>
      <c r="O304" s="27">
        <f>IF(N304="","",IF(N304&lt;=0,"",N304/SUMIF($N$8:$N$507,"&gt;0")))</f>
        <v/>
      </c>
      <c r="P304" s="27">
        <f>IF(O304="","",SUMIF($N$8:$N$507,"&gt;="&amp;N304)/SUMIF($N$8:$N$507,"&gt;0"))</f>
        <v/>
      </c>
      <c r="Q304" s="28">
        <f>IF(O304="","",IF(SUMIF($N$8:$N$507,"&gt;"&amp;N304)/SUMIF($N$8:$N$507,"&gt;0")&lt;$B$6,"A",IF(SUMIF($N$8:$N$507,"&gt;"&amp;N304)/SUMIF($N$8:$N$507,"&gt;0")&lt;$D$6,"B","C")))</f>
        <v/>
      </c>
      <c r="R304" s="29">
        <f>IF(O304="","",IF(COUNT(B304:M304)&lt;3,"",STDEVP(B304:M304)/AVERAGE(B304:M304)))</f>
        <v/>
      </c>
      <c r="S304" s="28">
        <f>IF(R304="","",IF(R304&lt;=$G$6,"X",IF(R304&lt;=$I$6,"Y","Z")))</f>
        <v/>
      </c>
    </row>
    <row r="305">
      <c r="A305" s="24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6">
        <f>IF(COUNT(B305:M305)=0,"",SUM(B305:M305))</f>
        <v/>
      </c>
      <c r="O305" s="27">
        <f>IF(N305="","",IF(N305&lt;=0,"",N305/SUMIF($N$8:$N$507,"&gt;0")))</f>
        <v/>
      </c>
      <c r="P305" s="27">
        <f>IF(O305="","",SUMIF($N$8:$N$507,"&gt;="&amp;N305)/SUMIF($N$8:$N$507,"&gt;0"))</f>
        <v/>
      </c>
      <c r="Q305" s="28">
        <f>IF(O305="","",IF(SUMIF($N$8:$N$507,"&gt;"&amp;N305)/SUMIF($N$8:$N$507,"&gt;0")&lt;$B$6,"A",IF(SUMIF($N$8:$N$507,"&gt;"&amp;N305)/SUMIF($N$8:$N$507,"&gt;0")&lt;$D$6,"B","C")))</f>
        <v/>
      </c>
      <c r="R305" s="29">
        <f>IF(O305="","",IF(COUNT(B305:M305)&lt;3,"",STDEVP(B305:M305)/AVERAGE(B305:M305)))</f>
        <v/>
      </c>
      <c r="S305" s="28">
        <f>IF(R305="","",IF(R305&lt;=$G$6,"X",IF(R305&lt;=$I$6,"Y","Z")))</f>
        <v/>
      </c>
    </row>
    <row r="306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6">
        <f>IF(COUNT(B306:M306)=0,"",SUM(B306:M306))</f>
        <v/>
      </c>
      <c r="O306" s="27">
        <f>IF(N306="","",IF(N306&lt;=0,"",N306/SUMIF($N$8:$N$507,"&gt;0")))</f>
        <v/>
      </c>
      <c r="P306" s="27">
        <f>IF(O306="","",SUMIF($N$8:$N$507,"&gt;="&amp;N306)/SUMIF($N$8:$N$507,"&gt;0"))</f>
        <v/>
      </c>
      <c r="Q306" s="28">
        <f>IF(O306="","",IF(SUMIF($N$8:$N$507,"&gt;"&amp;N306)/SUMIF($N$8:$N$507,"&gt;0")&lt;$B$6,"A",IF(SUMIF($N$8:$N$507,"&gt;"&amp;N306)/SUMIF($N$8:$N$507,"&gt;0")&lt;$D$6,"B","C")))</f>
        <v/>
      </c>
      <c r="R306" s="29">
        <f>IF(O306="","",IF(COUNT(B306:M306)&lt;3,"",STDEVP(B306:M306)/AVERAGE(B306:M306)))</f>
        <v/>
      </c>
      <c r="S306" s="28">
        <f>IF(R306="","",IF(R306&lt;=$G$6,"X",IF(R306&lt;=$I$6,"Y","Z")))</f>
        <v/>
      </c>
    </row>
    <row r="307">
      <c r="A307" s="24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6">
        <f>IF(COUNT(B307:M307)=0,"",SUM(B307:M307))</f>
        <v/>
      </c>
      <c r="O307" s="27">
        <f>IF(N307="","",IF(N307&lt;=0,"",N307/SUMIF($N$8:$N$507,"&gt;0")))</f>
        <v/>
      </c>
      <c r="P307" s="27">
        <f>IF(O307="","",SUMIF($N$8:$N$507,"&gt;="&amp;N307)/SUMIF($N$8:$N$507,"&gt;0"))</f>
        <v/>
      </c>
      <c r="Q307" s="28">
        <f>IF(O307="","",IF(SUMIF($N$8:$N$507,"&gt;"&amp;N307)/SUMIF($N$8:$N$507,"&gt;0")&lt;$B$6,"A",IF(SUMIF($N$8:$N$507,"&gt;"&amp;N307)/SUMIF($N$8:$N$507,"&gt;0")&lt;$D$6,"B","C")))</f>
        <v/>
      </c>
      <c r="R307" s="29">
        <f>IF(O307="","",IF(COUNT(B307:M307)&lt;3,"",STDEVP(B307:M307)/AVERAGE(B307:M307)))</f>
        <v/>
      </c>
      <c r="S307" s="28">
        <f>IF(R307="","",IF(R307&lt;=$G$6,"X",IF(R307&lt;=$I$6,"Y","Z")))</f>
        <v/>
      </c>
    </row>
    <row r="308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6">
        <f>IF(COUNT(B308:M308)=0,"",SUM(B308:M308))</f>
        <v/>
      </c>
      <c r="O308" s="27">
        <f>IF(N308="","",IF(N308&lt;=0,"",N308/SUMIF($N$8:$N$507,"&gt;0")))</f>
        <v/>
      </c>
      <c r="P308" s="27">
        <f>IF(O308="","",SUMIF($N$8:$N$507,"&gt;="&amp;N308)/SUMIF($N$8:$N$507,"&gt;0"))</f>
        <v/>
      </c>
      <c r="Q308" s="28">
        <f>IF(O308="","",IF(SUMIF($N$8:$N$507,"&gt;"&amp;N308)/SUMIF($N$8:$N$507,"&gt;0")&lt;$B$6,"A",IF(SUMIF($N$8:$N$507,"&gt;"&amp;N308)/SUMIF($N$8:$N$507,"&gt;0")&lt;$D$6,"B","C")))</f>
        <v/>
      </c>
      <c r="R308" s="29">
        <f>IF(O308="","",IF(COUNT(B308:M308)&lt;3,"",STDEVP(B308:M308)/AVERAGE(B308:M308)))</f>
        <v/>
      </c>
      <c r="S308" s="28">
        <f>IF(R308="","",IF(R308&lt;=$G$6,"X",IF(R308&lt;=$I$6,"Y","Z")))</f>
        <v/>
      </c>
    </row>
    <row r="309">
      <c r="A309" s="24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6">
        <f>IF(COUNT(B309:M309)=0,"",SUM(B309:M309))</f>
        <v/>
      </c>
      <c r="O309" s="27">
        <f>IF(N309="","",IF(N309&lt;=0,"",N309/SUMIF($N$8:$N$507,"&gt;0")))</f>
        <v/>
      </c>
      <c r="P309" s="27">
        <f>IF(O309="","",SUMIF($N$8:$N$507,"&gt;="&amp;N309)/SUMIF($N$8:$N$507,"&gt;0"))</f>
        <v/>
      </c>
      <c r="Q309" s="28">
        <f>IF(O309="","",IF(SUMIF($N$8:$N$507,"&gt;"&amp;N309)/SUMIF($N$8:$N$507,"&gt;0")&lt;$B$6,"A",IF(SUMIF($N$8:$N$507,"&gt;"&amp;N309)/SUMIF($N$8:$N$507,"&gt;0")&lt;$D$6,"B","C")))</f>
        <v/>
      </c>
      <c r="R309" s="29">
        <f>IF(O309="","",IF(COUNT(B309:M309)&lt;3,"",STDEVP(B309:M309)/AVERAGE(B309:M309)))</f>
        <v/>
      </c>
      <c r="S309" s="28">
        <f>IF(R309="","",IF(R309&lt;=$G$6,"X",IF(R309&lt;=$I$6,"Y","Z")))</f>
        <v/>
      </c>
    </row>
    <row r="310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6">
        <f>IF(COUNT(B310:M310)=0,"",SUM(B310:M310))</f>
        <v/>
      </c>
      <c r="O310" s="27">
        <f>IF(N310="","",IF(N310&lt;=0,"",N310/SUMIF($N$8:$N$507,"&gt;0")))</f>
        <v/>
      </c>
      <c r="P310" s="27">
        <f>IF(O310="","",SUMIF($N$8:$N$507,"&gt;="&amp;N310)/SUMIF($N$8:$N$507,"&gt;0"))</f>
        <v/>
      </c>
      <c r="Q310" s="28">
        <f>IF(O310="","",IF(SUMIF($N$8:$N$507,"&gt;"&amp;N310)/SUMIF($N$8:$N$507,"&gt;0")&lt;$B$6,"A",IF(SUMIF($N$8:$N$507,"&gt;"&amp;N310)/SUMIF($N$8:$N$507,"&gt;0")&lt;$D$6,"B","C")))</f>
        <v/>
      </c>
      <c r="R310" s="29">
        <f>IF(O310="","",IF(COUNT(B310:M310)&lt;3,"",STDEVP(B310:M310)/AVERAGE(B310:M310)))</f>
        <v/>
      </c>
      <c r="S310" s="28">
        <f>IF(R310="","",IF(R310&lt;=$G$6,"X",IF(R310&lt;=$I$6,"Y","Z")))</f>
        <v/>
      </c>
    </row>
    <row r="311">
      <c r="A311" s="24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6">
        <f>IF(COUNT(B311:M311)=0,"",SUM(B311:M311))</f>
        <v/>
      </c>
      <c r="O311" s="27">
        <f>IF(N311="","",IF(N311&lt;=0,"",N311/SUMIF($N$8:$N$507,"&gt;0")))</f>
        <v/>
      </c>
      <c r="P311" s="27">
        <f>IF(O311="","",SUMIF($N$8:$N$507,"&gt;="&amp;N311)/SUMIF($N$8:$N$507,"&gt;0"))</f>
        <v/>
      </c>
      <c r="Q311" s="28">
        <f>IF(O311="","",IF(SUMIF($N$8:$N$507,"&gt;"&amp;N311)/SUMIF($N$8:$N$507,"&gt;0")&lt;$B$6,"A",IF(SUMIF($N$8:$N$507,"&gt;"&amp;N311)/SUMIF($N$8:$N$507,"&gt;0")&lt;$D$6,"B","C")))</f>
        <v/>
      </c>
      <c r="R311" s="29">
        <f>IF(O311="","",IF(COUNT(B311:M311)&lt;3,"",STDEVP(B311:M311)/AVERAGE(B311:M311)))</f>
        <v/>
      </c>
      <c r="S311" s="28">
        <f>IF(R311="","",IF(R311&lt;=$G$6,"X",IF(R311&lt;=$I$6,"Y","Z")))</f>
        <v/>
      </c>
    </row>
    <row r="31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6">
        <f>IF(COUNT(B312:M312)=0,"",SUM(B312:M312))</f>
        <v/>
      </c>
      <c r="O312" s="27">
        <f>IF(N312="","",IF(N312&lt;=0,"",N312/SUMIF($N$8:$N$507,"&gt;0")))</f>
        <v/>
      </c>
      <c r="P312" s="27">
        <f>IF(O312="","",SUMIF($N$8:$N$507,"&gt;="&amp;N312)/SUMIF($N$8:$N$507,"&gt;0"))</f>
        <v/>
      </c>
      <c r="Q312" s="28">
        <f>IF(O312="","",IF(SUMIF($N$8:$N$507,"&gt;"&amp;N312)/SUMIF($N$8:$N$507,"&gt;0")&lt;$B$6,"A",IF(SUMIF($N$8:$N$507,"&gt;"&amp;N312)/SUMIF($N$8:$N$507,"&gt;0")&lt;$D$6,"B","C")))</f>
        <v/>
      </c>
      <c r="R312" s="29">
        <f>IF(O312="","",IF(COUNT(B312:M312)&lt;3,"",STDEVP(B312:M312)/AVERAGE(B312:M312)))</f>
        <v/>
      </c>
      <c r="S312" s="28">
        <f>IF(R312="","",IF(R312&lt;=$G$6,"X",IF(R312&lt;=$I$6,"Y","Z")))</f>
        <v/>
      </c>
    </row>
    <row r="313">
      <c r="A313" s="24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6">
        <f>IF(COUNT(B313:M313)=0,"",SUM(B313:M313))</f>
        <v/>
      </c>
      <c r="O313" s="27">
        <f>IF(N313="","",IF(N313&lt;=0,"",N313/SUMIF($N$8:$N$507,"&gt;0")))</f>
        <v/>
      </c>
      <c r="P313" s="27">
        <f>IF(O313="","",SUMIF($N$8:$N$507,"&gt;="&amp;N313)/SUMIF($N$8:$N$507,"&gt;0"))</f>
        <v/>
      </c>
      <c r="Q313" s="28">
        <f>IF(O313="","",IF(SUMIF($N$8:$N$507,"&gt;"&amp;N313)/SUMIF($N$8:$N$507,"&gt;0")&lt;$B$6,"A",IF(SUMIF($N$8:$N$507,"&gt;"&amp;N313)/SUMIF($N$8:$N$507,"&gt;0")&lt;$D$6,"B","C")))</f>
        <v/>
      </c>
      <c r="R313" s="29">
        <f>IF(O313="","",IF(COUNT(B313:M313)&lt;3,"",STDEVP(B313:M313)/AVERAGE(B313:M313)))</f>
        <v/>
      </c>
      <c r="S313" s="28">
        <f>IF(R313="","",IF(R313&lt;=$G$6,"X",IF(R313&lt;=$I$6,"Y","Z")))</f>
        <v/>
      </c>
    </row>
    <row r="314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6">
        <f>IF(COUNT(B314:M314)=0,"",SUM(B314:M314))</f>
        <v/>
      </c>
      <c r="O314" s="27">
        <f>IF(N314="","",IF(N314&lt;=0,"",N314/SUMIF($N$8:$N$507,"&gt;0")))</f>
        <v/>
      </c>
      <c r="P314" s="27">
        <f>IF(O314="","",SUMIF($N$8:$N$507,"&gt;="&amp;N314)/SUMIF($N$8:$N$507,"&gt;0"))</f>
        <v/>
      </c>
      <c r="Q314" s="28">
        <f>IF(O314="","",IF(SUMIF($N$8:$N$507,"&gt;"&amp;N314)/SUMIF($N$8:$N$507,"&gt;0")&lt;$B$6,"A",IF(SUMIF($N$8:$N$507,"&gt;"&amp;N314)/SUMIF($N$8:$N$507,"&gt;0")&lt;$D$6,"B","C")))</f>
        <v/>
      </c>
      <c r="R314" s="29">
        <f>IF(O314="","",IF(COUNT(B314:M314)&lt;3,"",STDEVP(B314:M314)/AVERAGE(B314:M314)))</f>
        <v/>
      </c>
      <c r="S314" s="28">
        <f>IF(R314="","",IF(R314&lt;=$G$6,"X",IF(R314&lt;=$I$6,"Y","Z")))</f>
        <v/>
      </c>
    </row>
    <row r="315">
      <c r="A315" s="24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6">
        <f>IF(COUNT(B315:M315)=0,"",SUM(B315:M315))</f>
        <v/>
      </c>
      <c r="O315" s="27">
        <f>IF(N315="","",IF(N315&lt;=0,"",N315/SUMIF($N$8:$N$507,"&gt;0")))</f>
        <v/>
      </c>
      <c r="P315" s="27">
        <f>IF(O315="","",SUMIF($N$8:$N$507,"&gt;="&amp;N315)/SUMIF($N$8:$N$507,"&gt;0"))</f>
        <v/>
      </c>
      <c r="Q315" s="28">
        <f>IF(O315="","",IF(SUMIF($N$8:$N$507,"&gt;"&amp;N315)/SUMIF($N$8:$N$507,"&gt;0")&lt;$B$6,"A",IF(SUMIF($N$8:$N$507,"&gt;"&amp;N315)/SUMIF($N$8:$N$507,"&gt;0")&lt;$D$6,"B","C")))</f>
        <v/>
      </c>
      <c r="R315" s="29">
        <f>IF(O315="","",IF(COUNT(B315:M315)&lt;3,"",STDEVP(B315:M315)/AVERAGE(B315:M315)))</f>
        <v/>
      </c>
      <c r="S315" s="28">
        <f>IF(R315="","",IF(R315&lt;=$G$6,"X",IF(R315&lt;=$I$6,"Y","Z")))</f>
        <v/>
      </c>
    </row>
    <row r="316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6">
        <f>IF(COUNT(B316:M316)=0,"",SUM(B316:M316))</f>
        <v/>
      </c>
      <c r="O316" s="27">
        <f>IF(N316="","",IF(N316&lt;=0,"",N316/SUMIF($N$8:$N$507,"&gt;0")))</f>
        <v/>
      </c>
      <c r="P316" s="27">
        <f>IF(O316="","",SUMIF($N$8:$N$507,"&gt;="&amp;N316)/SUMIF($N$8:$N$507,"&gt;0"))</f>
        <v/>
      </c>
      <c r="Q316" s="28">
        <f>IF(O316="","",IF(SUMIF($N$8:$N$507,"&gt;"&amp;N316)/SUMIF($N$8:$N$507,"&gt;0")&lt;$B$6,"A",IF(SUMIF($N$8:$N$507,"&gt;"&amp;N316)/SUMIF($N$8:$N$507,"&gt;0")&lt;$D$6,"B","C")))</f>
        <v/>
      </c>
      <c r="R316" s="29">
        <f>IF(O316="","",IF(COUNT(B316:M316)&lt;3,"",STDEVP(B316:M316)/AVERAGE(B316:M316)))</f>
        <v/>
      </c>
      <c r="S316" s="28">
        <f>IF(R316="","",IF(R316&lt;=$G$6,"X",IF(R316&lt;=$I$6,"Y","Z")))</f>
        <v/>
      </c>
    </row>
    <row r="317">
      <c r="A317" s="24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6">
        <f>IF(COUNT(B317:M317)=0,"",SUM(B317:M317))</f>
        <v/>
      </c>
      <c r="O317" s="27">
        <f>IF(N317="","",IF(N317&lt;=0,"",N317/SUMIF($N$8:$N$507,"&gt;0")))</f>
        <v/>
      </c>
      <c r="P317" s="27">
        <f>IF(O317="","",SUMIF($N$8:$N$507,"&gt;="&amp;N317)/SUMIF($N$8:$N$507,"&gt;0"))</f>
        <v/>
      </c>
      <c r="Q317" s="28">
        <f>IF(O317="","",IF(SUMIF($N$8:$N$507,"&gt;"&amp;N317)/SUMIF($N$8:$N$507,"&gt;0")&lt;$B$6,"A",IF(SUMIF($N$8:$N$507,"&gt;"&amp;N317)/SUMIF($N$8:$N$507,"&gt;0")&lt;$D$6,"B","C")))</f>
        <v/>
      </c>
      <c r="R317" s="29">
        <f>IF(O317="","",IF(COUNT(B317:M317)&lt;3,"",STDEVP(B317:M317)/AVERAGE(B317:M317)))</f>
        <v/>
      </c>
      <c r="S317" s="28">
        <f>IF(R317="","",IF(R317&lt;=$G$6,"X",IF(R317&lt;=$I$6,"Y","Z")))</f>
        <v/>
      </c>
    </row>
    <row r="318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6">
        <f>IF(COUNT(B318:M318)=0,"",SUM(B318:M318))</f>
        <v/>
      </c>
      <c r="O318" s="27">
        <f>IF(N318="","",IF(N318&lt;=0,"",N318/SUMIF($N$8:$N$507,"&gt;0")))</f>
        <v/>
      </c>
      <c r="P318" s="27">
        <f>IF(O318="","",SUMIF($N$8:$N$507,"&gt;="&amp;N318)/SUMIF($N$8:$N$507,"&gt;0"))</f>
        <v/>
      </c>
      <c r="Q318" s="28">
        <f>IF(O318="","",IF(SUMIF($N$8:$N$507,"&gt;"&amp;N318)/SUMIF($N$8:$N$507,"&gt;0")&lt;$B$6,"A",IF(SUMIF($N$8:$N$507,"&gt;"&amp;N318)/SUMIF($N$8:$N$507,"&gt;0")&lt;$D$6,"B","C")))</f>
        <v/>
      </c>
      <c r="R318" s="29">
        <f>IF(O318="","",IF(COUNT(B318:M318)&lt;3,"",STDEVP(B318:M318)/AVERAGE(B318:M318)))</f>
        <v/>
      </c>
      <c r="S318" s="28">
        <f>IF(R318="","",IF(R318&lt;=$G$6,"X",IF(R318&lt;=$I$6,"Y","Z")))</f>
        <v/>
      </c>
    </row>
    <row r="319">
      <c r="A319" s="24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6">
        <f>IF(COUNT(B319:M319)=0,"",SUM(B319:M319))</f>
        <v/>
      </c>
      <c r="O319" s="27">
        <f>IF(N319="","",IF(N319&lt;=0,"",N319/SUMIF($N$8:$N$507,"&gt;0")))</f>
        <v/>
      </c>
      <c r="P319" s="27">
        <f>IF(O319="","",SUMIF($N$8:$N$507,"&gt;="&amp;N319)/SUMIF($N$8:$N$507,"&gt;0"))</f>
        <v/>
      </c>
      <c r="Q319" s="28">
        <f>IF(O319="","",IF(SUMIF($N$8:$N$507,"&gt;"&amp;N319)/SUMIF($N$8:$N$507,"&gt;0")&lt;$B$6,"A",IF(SUMIF($N$8:$N$507,"&gt;"&amp;N319)/SUMIF($N$8:$N$507,"&gt;0")&lt;$D$6,"B","C")))</f>
        <v/>
      </c>
      <c r="R319" s="29">
        <f>IF(O319="","",IF(COUNT(B319:M319)&lt;3,"",STDEVP(B319:M319)/AVERAGE(B319:M319)))</f>
        <v/>
      </c>
      <c r="S319" s="28">
        <f>IF(R319="","",IF(R319&lt;=$G$6,"X",IF(R319&lt;=$I$6,"Y","Z")))</f>
        <v/>
      </c>
    </row>
    <row r="320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6">
        <f>IF(COUNT(B320:M320)=0,"",SUM(B320:M320))</f>
        <v/>
      </c>
      <c r="O320" s="27">
        <f>IF(N320="","",IF(N320&lt;=0,"",N320/SUMIF($N$8:$N$507,"&gt;0")))</f>
        <v/>
      </c>
      <c r="P320" s="27">
        <f>IF(O320="","",SUMIF($N$8:$N$507,"&gt;="&amp;N320)/SUMIF($N$8:$N$507,"&gt;0"))</f>
        <v/>
      </c>
      <c r="Q320" s="28">
        <f>IF(O320="","",IF(SUMIF($N$8:$N$507,"&gt;"&amp;N320)/SUMIF($N$8:$N$507,"&gt;0")&lt;$B$6,"A",IF(SUMIF($N$8:$N$507,"&gt;"&amp;N320)/SUMIF($N$8:$N$507,"&gt;0")&lt;$D$6,"B","C")))</f>
        <v/>
      </c>
      <c r="R320" s="29">
        <f>IF(O320="","",IF(COUNT(B320:M320)&lt;3,"",STDEVP(B320:M320)/AVERAGE(B320:M320)))</f>
        <v/>
      </c>
      <c r="S320" s="28">
        <f>IF(R320="","",IF(R320&lt;=$G$6,"X",IF(R320&lt;=$I$6,"Y","Z")))</f>
        <v/>
      </c>
    </row>
    <row r="321">
      <c r="A321" s="24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6">
        <f>IF(COUNT(B321:M321)=0,"",SUM(B321:M321))</f>
        <v/>
      </c>
      <c r="O321" s="27">
        <f>IF(N321="","",IF(N321&lt;=0,"",N321/SUMIF($N$8:$N$507,"&gt;0")))</f>
        <v/>
      </c>
      <c r="P321" s="27">
        <f>IF(O321="","",SUMIF($N$8:$N$507,"&gt;="&amp;N321)/SUMIF($N$8:$N$507,"&gt;0"))</f>
        <v/>
      </c>
      <c r="Q321" s="28">
        <f>IF(O321="","",IF(SUMIF($N$8:$N$507,"&gt;"&amp;N321)/SUMIF($N$8:$N$507,"&gt;0")&lt;$B$6,"A",IF(SUMIF($N$8:$N$507,"&gt;"&amp;N321)/SUMIF($N$8:$N$507,"&gt;0")&lt;$D$6,"B","C")))</f>
        <v/>
      </c>
      <c r="R321" s="29">
        <f>IF(O321="","",IF(COUNT(B321:M321)&lt;3,"",STDEVP(B321:M321)/AVERAGE(B321:M321)))</f>
        <v/>
      </c>
      <c r="S321" s="28">
        <f>IF(R321="","",IF(R321&lt;=$G$6,"X",IF(R321&lt;=$I$6,"Y","Z")))</f>
        <v/>
      </c>
    </row>
    <row r="32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6">
        <f>IF(COUNT(B322:M322)=0,"",SUM(B322:M322))</f>
        <v/>
      </c>
      <c r="O322" s="27">
        <f>IF(N322="","",IF(N322&lt;=0,"",N322/SUMIF($N$8:$N$507,"&gt;0")))</f>
        <v/>
      </c>
      <c r="P322" s="27">
        <f>IF(O322="","",SUMIF($N$8:$N$507,"&gt;="&amp;N322)/SUMIF($N$8:$N$507,"&gt;0"))</f>
        <v/>
      </c>
      <c r="Q322" s="28">
        <f>IF(O322="","",IF(SUMIF($N$8:$N$507,"&gt;"&amp;N322)/SUMIF($N$8:$N$507,"&gt;0")&lt;$B$6,"A",IF(SUMIF($N$8:$N$507,"&gt;"&amp;N322)/SUMIF($N$8:$N$507,"&gt;0")&lt;$D$6,"B","C")))</f>
        <v/>
      </c>
      <c r="R322" s="29">
        <f>IF(O322="","",IF(COUNT(B322:M322)&lt;3,"",STDEVP(B322:M322)/AVERAGE(B322:M322)))</f>
        <v/>
      </c>
      <c r="S322" s="28">
        <f>IF(R322="","",IF(R322&lt;=$G$6,"X",IF(R322&lt;=$I$6,"Y","Z")))</f>
        <v/>
      </c>
    </row>
    <row r="323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6">
        <f>IF(COUNT(B323:M323)=0,"",SUM(B323:M323))</f>
        <v/>
      </c>
      <c r="O323" s="27">
        <f>IF(N323="","",IF(N323&lt;=0,"",N323/SUMIF($N$8:$N$507,"&gt;0")))</f>
        <v/>
      </c>
      <c r="P323" s="27">
        <f>IF(O323="","",SUMIF($N$8:$N$507,"&gt;="&amp;N323)/SUMIF($N$8:$N$507,"&gt;0"))</f>
        <v/>
      </c>
      <c r="Q323" s="28">
        <f>IF(O323="","",IF(SUMIF($N$8:$N$507,"&gt;"&amp;N323)/SUMIF($N$8:$N$507,"&gt;0")&lt;$B$6,"A",IF(SUMIF($N$8:$N$507,"&gt;"&amp;N323)/SUMIF($N$8:$N$507,"&gt;0")&lt;$D$6,"B","C")))</f>
        <v/>
      </c>
      <c r="R323" s="29">
        <f>IF(O323="","",IF(COUNT(B323:M323)&lt;3,"",STDEVP(B323:M323)/AVERAGE(B323:M323)))</f>
        <v/>
      </c>
      <c r="S323" s="28">
        <f>IF(R323="","",IF(R323&lt;=$G$6,"X",IF(R323&lt;=$I$6,"Y","Z")))</f>
        <v/>
      </c>
    </row>
    <row r="324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6">
        <f>IF(COUNT(B324:M324)=0,"",SUM(B324:M324))</f>
        <v/>
      </c>
      <c r="O324" s="27">
        <f>IF(N324="","",IF(N324&lt;=0,"",N324/SUMIF($N$8:$N$507,"&gt;0")))</f>
        <v/>
      </c>
      <c r="P324" s="27">
        <f>IF(O324="","",SUMIF($N$8:$N$507,"&gt;="&amp;N324)/SUMIF($N$8:$N$507,"&gt;0"))</f>
        <v/>
      </c>
      <c r="Q324" s="28">
        <f>IF(O324="","",IF(SUMIF($N$8:$N$507,"&gt;"&amp;N324)/SUMIF($N$8:$N$507,"&gt;0")&lt;$B$6,"A",IF(SUMIF($N$8:$N$507,"&gt;"&amp;N324)/SUMIF($N$8:$N$507,"&gt;0")&lt;$D$6,"B","C")))</f>
        <v/>
      </c>
      <c r="R324" s="29">
        <f>IF(O324="","",IF(COUNT(B324:M324)&lt;3,"",STDEVP(B324:M324)/AVERAGE(B324:M324)))</f>
        <v/>
      </c>
      <c r="S324" s="28">
        <f>IF(R324="","",IF(R324&lt;=$G$6,"X",IF(R324&lt;=$I$6,"Y","Z")))</f>
        <v/>
      </c>
    </row>
    <row r="325">
      <c r="A325" s="24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6">
        <f>IF(COUNT(B325:M325)=0,"",SUM(B325:M325))</f>
        <v/>
      </c>
      <c r="O325" s="27">
        <f>IF(N325="","",IF(N325&lt;=0,"",N325/SUMIF($N$8:$N$507,"&gt;0")))</f>
        <v/>
      </c>
      <c r="P325" s="27">
        <f>IF(O325="","",SUMIF($N$8:$N$507,"&gt;="&amp;N325)/SUMIF($N$8:$N$507,"&gt;0"))</f>
        <v/>
      </c>
      <c r="Q325" s="28">
        <f>IF(O325="","",IF(SUMIF($N$8:$N$507,"&gt;"&amp;N325)/SUMIF($N$8:$N$507,"&gt;0")&lt;$B$6,"A",IF(SUMIF($N$8:$N$507,"&gt;"&amp;N325)/SUMIF($N$8:$N$507,"&gt;0")&lt;$D$6,"B","C")))</f>
        <v/>
      </c>
      <c r="R325" s="29">
        <f>IF(O325="","",IF(COUNT(B325:M325)&lt;3,"",STDEVP(B325:M325)/AVERAGE(B325:M325)))</f>
        <v/>
      </c>
      <c r="S325" s="28">
        <f>IF(R325="","",IF(R325&lt;=$G$6,"X",IF(R325&lt;=$I$6,"Y","Z")))</f>
        <v/>
      </c>
    </row>
    <row r="326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6">
        <f>IF(COUNT(B326:M326)=0,"",SUM(B326:M326))</f>
        <v/>
      </c>
      <c r="O326" s="27">
        <f>IF(N326="","",IF(N326&lt;=0,"",N326/SUMIF($N$8:$N$507,"&gt;0")))</f>
        <v/>
      </c>
      <c r="P326" s="27">
        <f>IF(O326="","",SUMIF($N$8:$N$507,"&gt;="&amp;N326)/SUMIF($N$8:$N$507,"&gt;0"))</f>
        <v/>
      </c>
      <c r="Q326" s="28">
        <f>IF(O326="","",IF(SUMIF($N$8:$N$507,"&gt;"&amp;N326)/SUMIF($N$8:$N$507,"&gt;0")&lt;$B$6,"A",IF(SUMIF($N$8:$N$507,"&gt;"&amp;N326)/SUMIF($N$8:$N$507,"&gt;0")&lt;$D$6,"B","C")))</f>
        <v/>
      </c>
      <c r="R326" s="29">
        <f>IF(O326="","",IF(COUNT(B326:M326)&lt;3,"",STDEVP(B326:M326)/AVERAGE(B326:M326)))</f>
        <v/>
      </c>
      <c r="S326" s="28">
        <f>IF(R326="","",IF(R326&lt;=$G$6,"X",IF(R326&lt;=$I$6,"Y","Z")))</f>
        <v/>
      </c>
    </row>
    <row r="327">
      <c r="A327" s="24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6">
        <f>IF(COUNT(B327:M327)=0,"",SUM(B327:M327))</f>
        <v/>
      </c>
      <c r="O327" s="27">
        <f>IF(N327="","",IF(N327&lt;=0,"",N327/SUMIF($N$8:$N$507,"&gt;0")))</f>
        <v/>
      </c>
      <c r="P327" s="27">
        <f>IF(O327="","",SUMIF($N$8:$N$507,"&gt;="&amp;N327)/SUMIF($N$8:$N$507,"&gt;0"))</f>
        <v/>
      </c>
      <c r="Q327" s="28">
        <f>IF(O327="","",IF(SUMIF($N$8:$N$507,"&gt;"&amp;N327)/SUMIF($N$8:$N$507,"&gt;0")&lt;$B$6,"A",IF(SUMIF($N$8:$N$507,"&gt;"&amp;N327)/SUMIF($N$8:$N$507,"&gt;0")&lt;$D$6,"B","C")))</f>
        <v/>
      </c>
      <c r="R327" s="29">
        <f>IF(O327="","",IF(COUNT(B327:M327)&lt;3,"",STDEVP(B327:M327)/AVERAGE(B327:M327)))</f>
        <v/>
      </c>
      <c r="S327" s="28">
        <f>IF(R327="","",IF(R327&lt;=$G$6,"X",IF(R327&lt;=$I$6,"Y","Z")))</f>
        <v/>
      </c>
    </row>
    <row r="328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6">
        <f>IF(COUNT(B328:M328)=0,"",SUM(B328:M328))</f>
        <v/>
      </c>
      <c r="O328" s="27">
        <f>IF(N328="","",IF(N328&lt;=0,"",N328/SUMIF($N$8:$N$507,"&gt;0")))</f>
        <v/>
      </c>
      <c r="P328" s="27">
        <f>IF(O328="","",SUMIF($N$8:$N$507,"&gt;="&amp;N328)/SUMIF($N$8:$N$507,"&gt;0"))</f>
        <v/>
      </c>
      <c r="Q328" s="28">
        <f>IF(O328="","",IF(SUMIF($N$8:$N$507,"&gt;"&amp;N328)/SUMIF($N$8:$N$507,"&gt;0")&lt;$B$6,"A",IF(SUMIF($N$8:$N$507,"&gt;"&amp;N328)/SUMIF($N$8:$N$507,"&gt;0")&lt;$D$6,"B","C")))</f>
        <v/>
      </c>
      <c r="R328" s="29">
        <f>IF(O328="","",IF(COUNT(B328:M328)&lt;3,"",STDEVP(B328:M328)/AVERAGE(B328:M328)))</f>
        <v/>
      </c>
      <c r="S328" s="28">
        <f>IF(R328="","",IF(R328&lt;=$G$6,"X",IF(R328&lt;=$I$6,"Y","Z")))</f>
        <v/>
      </c>
    </row>
    <row r="329">
      <c r="A329" s="24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6">
        <f>IF(COUNT(B329:M329)=0,"",SUM(B329:M329))</f>
        <v/>
      </c>
      <c r="O329" s="27">
        <f>IF(N329="","",IF(N329&lt;=0,"",N329/SUMIF($N$8:$N$507,"&gt;0")))</f>
        <v/>
      </c>
      <c r="P329" s="27">
        <f>IF(O329="","",SUMIF($N$8:$N$507,"&gt;="&amp;N329)/SUMIF($N$8:$N$507,"&gt;0"))</f>
        <v/>
      </c>
      <c r="Q329" s="28">
        <f>IF(O329="","",IF(SUMIF($N$8:$N$507,"&gt;"&amp;N329)/SUMIF($N$8:$N$507,"&gt;0")&lt;$B$6,"A",IF(SUMIF($N$8:$N$507,"&gt;"&amp;N329)/SUMIF($N$8:$N$507,"&gt;0")&lt;$D$6,"B","C")))</f>
        <v/>
      </c>
      <c r="R329" s="29">
        <f>IF(O329="","",IF(COUNT(B329:M329)&lt;3,"",STDEVP(B329:M329)/AVERAGE(B329:M329)))</f>
        <v/>
      </c>
      <c r="S329" s="28">
        <f>IF(R329="","",IF(R329&lt;=$G$6,"X",IF(R329&lt;=$I$6,"Y","Z")))</f>
        <v/>
      </c>
    </row>
    <row r="330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6">
        <f>IF(COUNT(B330:M330)=0,"",SUM(B330:M330))</f>
        <v/>
      </c>
      <c r="O330" s="27">
        <f>IF(N330="","",IF(N330&lt;=0,"",N330/SUMIF($N$8:$N$507,"&gt;0")))</f>
        <v/>
      </c>
      <c r="P330" s="27">
        <f>IF(O330="","",SUMIF($N$8:$N$507,"&gt;="&amp;N330)/SUMIF($N$8:$N$507,"&gt;0"))</f>
        <v/>
      </c>
      <c r="Q330" s="28">
        <f>IF(O330="","",IF(SUMIF($N$8:$N$507,"&gt;"&amp;N330)/SUMIF($N$8:$N$507,"&gt;0")&lt;$B$6,"A",IF(SUMIF($N$8:$N$507,"&gt;"&amp;N330)/SUMIF($N$8:$N$507,"&gt;0")&lt;$D$6,"B","C")))</f>
        <v/>
      </c>
      <c r="R330" s="29">
        <f>IF(O330="","",IF(COUNT(B330:M330)&lt;3,"",STDEVP(B330:M330)/AVERAGE(B330:M330)))</f>
        <v/>
      </c>
      <c r="S330" s="28">
        <f>IF(R330="","",IF(R330&lt;=$G$6,"X",IF(R330&lt;=$I$6,"Y","Z")))</f>
        <v/>
      </c>
    </row>
    <row r="331">
      <c r="A331" s="24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6">
        <f>IF(COUNT(B331:M331)=0,"",SUM(B331:M331))</f>
        <v/>
      </c>
      <c r="O331" s="27">
        <f>IF(N331="","",IF(N331&lt;=0,"",N331/SUMIF($N$8:$N$507,"&gt;0")))</f>
        <v/>
      </c>
      <c r="P331" s="27">
        <f>IF(O331="","",SUMIF($N$8:$N$507,"&gt;="&amp;N331)/SUMIF($N$8:$N$507,"&gt;0"))</f>
        <v/>
      </c>
      <c r="Q331" s="28">
        <f>IF(O331="","",IF(SUMIF($N$8:$N$507,"&gt;"&amp;N331)/SUMIF($N$8:$N$507,"&gt;0")&lt;$B$6,"A",IF(SUMIF($N$8:$N$507,"&gt;"&amp;N331)/SUMIF($N$8:$N$507,"&gt;0")&lt;$D$6,"B","C")))</f>
        <v/>
      </c>
      <c r="R331" s="29">
        <f>IF(O331="","",IF(COUNT(B331:M331)&lt;3,"",STDEVP(B331:M331)/AVERAGE(B331:M331)))</f>
        <v/>
      </c>
      <c r="S331" s="28">
        <f>IF(R331="","",IF(R331&lt;=$G$6,"X",IF(R331&lt;=$I$6,"Y","Z")))</f>
        <v/>
      </c>
    </row>
    <row r="3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6">
        <f>IF(COUNT(B332:M332)=0,"",SUM(B332:M332))</f>
        <v/>
      </c>
      <c r="O332" s="27">
        <f>IF(N332="","",IF(N332&lt;=0,"",N332/SUMIF($N$8:$N$507,"&gt;0")))</f>
        <v/>
      </c>
      <c r="P332" s="27">
        <f>IF(O332="","",SUMIF($N$8:$N$507,"&gt;="&amp;N332)/SUMIF($N$8:$N$507,"&gt;0"))</f>
        <v/>
      </c>
      <c r="Q332" s="28">
        <f>IF(O332="","",IF(SUMIF($N$8:$N$507,"&gt;"&amp;N332)/SUMIF($N$8:$N$507,"&gt;0")&lt;$B$6,"A",IF(SUMIF($N$8:$N$507,"&gt;"&amp;N332)/SUMIF($N$8:$N$507,"&gt;0")&lt;$D$6,"B","C")))</f>
        <v/>
      </c>
      <c r="R332" s="29">
        <f>IF(O332="","",IF(COUNT(B332:M332)&lt;3,"",STDEVP(B332:M332)/AVERAGE(B332:M332)))</f>
        <v/>
      </c>
      <c r="S332" s="28">
        <f>IF(R332="","",IF(R332&lt;=$G$6,"X",IF(R332&lt;=$I$6,"Y","Z")))</f>
        <v/>
      </c>
    </row>
    <row r="333">
      <c r="A333" s="24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6">
        <f>IF(COUNT(B333:M333)=0,"",SUM(B333:M333))</f>
        <v/>
      </c>
      <c r="O333" s="27">
        <f>IF(N333="","",IF(N333&lt;=0,"",N333/SUMIF($N$8:$N$507,"&gt;0")))</f>
        <v/>
      </c>
      <c r="P333" s="27">
        <f>IF(O333="","",SUMIF($N$8:$N$507,"&gt;="&amp;N333)/SUMIF($N$8:$N$507,"&gt;0"))</f>
        <v/>
      </c>
      <c r="Q333" s="28">
        <f>IF(O333="","",IF(SUMIF($N$8:$N$507,"&gt;"&amp;N333)/SUMIF($N$8:$N$507,"&gt;0")&lt;$B$6,"A",IF(SUMIF($N$8:$N$507,"&gt;"&amp;N333)/SUMIF($N$8:$N$507,"&gt;0")&lt;$D$6,"B","C")))</f>
        <v/>
      </c>
      <c r="R333" s="29">
        <f>IF(O333="","",IF(COUNT(B333:M333)&lt;3,"",STDEVP(B333:M333)/AVERAGE(B333:M333)))</f>
        <v/>
      </c>
      <c r="S333" s="28">
        <f>IF(R333="","",IF(R333&lt;=$G$6,"X",IF(R333&lt;=$I$6,"Y","Z")))</f>
        <v/>
      </c>
    </row>
    <row r="334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6">
        <f>IF(COUNT(B334:M334)=0,"",SUM(B334:M334))</f>
        <v/>
      </c>
      <c r="O334" s="27">
        <f>IF(N334="","",IF(N334&lt;=0,"",N334/SUMIF($N$8:$N$507,"&gt;0")))</f>
        <v/>
      </c>
      <c r="P334" s="27">
        <f>IF(O334="","",SUMIF($N$8:$N$507,"&gt;="&amp;N334)/SUMIF($N$8:$N$507,"&gt;0"))</f>
        <v/>
      </c>
      <c r="Q334" s="28">
        <f>IF(O334="","",IF(SUMIF($N$8:$N$507,"&gt;"&amp;N334)/SUMIF($N$8:$N$507,"&gt;0")&lt;$B$6,"A",IF(SUMIF($N$8:$N$507,"&gt;"&amp;N334)/SUMIF($N$8:$N$507,"&gt;0")&lt;$D$6,"B","C")))</f>
        <v/>
      </c>
      <c r="R334" s="29">
        <f>IF(O334="","",IF(COUNT(B334:M334)&lt;3,"",STDEVP(B334:M334)/AVERAGE(B334:M334)))</f>
        <v/>
      </c>
      <c r="S334" s="28">
        <f>IF(R334="","",IF(R334&lt;=$G$6,"X",IF(R334&lt;=$I$6,"Y","Z")))</f>
        <v/>
      </c>
    </row>
    <row r="335">
      <c r="A335" s="24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6">
        <f>IF(COUNT(B335:M335)=0,"",SUM(B335:M335))</f>
        <v/>
      </c>
      <c r="O335" s="27">
        <f>IF(N335="","",IF(N335&lt;=0,"",N335/SUMIF($N$8:$N$507,"&gt;0")))</f>
        <v/>
      </c>
      <c r="P335" s="27">
        <f>IF(O335="","",SUMIF($N$8:$N$507,"&gt;="&amp;N335)/SUMIF($N$8:$N$507,"&gt;0"))</f>
        <v/>
      </c>
      <c r="Q335" s="28">
        <f>IF(O335="","",IF(SUMIF($N$8:$N$507,"&gt;"&amp;N335)/SUMIF($N$8:$N$507,"&gt;0")&lt;$B$6,"A",IF(SUMIF($N$8:$N$507,"&gt;"&amp;N335)/SUMIF($N$8:$N$507,"&gt;0")&lt;$D$6,"B","C")))</f>
        <v/>
      </c>
      <c r="R335" s="29">
        <f>IF(O335="","",IF(COUNT(B335:M335)&lt;3,"",STDEVP(B335:M335)/AVERAGE(B335:M335)))</f>
        <v/>
      </c>
      <c r="S335" s="28">
        <f>IF(R335="","",IF(R335&lt;=$G$6,"X",IF(R335&lt;=$I$6,"Y","Z")))</f>
        <v/>
      </c>
    </row>
    <row r="336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6">
        <f>IF(COUNT(B336:M336)=0,"",SUM(B336:M336))</f>
        <v/>
      </c>
      <c r="O336" s="27">
        <f>IF(N336="","",IF(N336&lt;=0,"",N336/SUMIF($N$8:$N$507,"&gt;0")))</f>
        <v/>
      </c>
      <c r="P336" s="27">
        <f>IF(O336="","",SUMIF($N$8:$N$507,"&gt;="&amp;N336)/SUMIF($N$8:$N$507,"&gt;0"))</f>
        <v/>
      </c>
      <c r="Q336" s="28">
        <f>IF(O336="","",IF(SUMIF($N$8:$N$507,"&gt;"&amp;N336)/SUMIF($N$8:$N$507,"&gt;0")&lt;$B$6,"A",IF(SUMIF($N$8:$N$507,"&gt;"&amp;N336)/SUMIF($N$8:$N$507,"&gt;0")&lt;$D$6,"B","C")))</f>
        <v/>
      </c>
      <c r="R336" s="29">
        <f>IF(O336="","",IF(COUNT(B336:M336)&lt;3,"",STDEVP(B336:M336)/AVERAGE(B336:M336)))</f>
        <v/>
      </c>
      <c r="S336" s="28">
        <f>IF(R336="","",IF(R336&lt;=$G$6,"X",IF(R336&lt;=$I$6,"Y","Z")))</f>
        <v/>
      </c>
    </row>
    <row r="337">
      <c r="A337" s="24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6">
        <f>IF(COUNT(B337:M337)=0,"",SUM(B337:M337))</f>
        <v/>
      </c>
      <c r="O337" s="27">
        <f>IF(N337="","",IF(N337&lt;=0,"",N337/SUMIF($N$8:$N$507,"&gt;0")))</f>
        <v/>
      </c>
      <c r="P337" s="27">
        <f>IF(O337="","",SUMIF($N$8:$N$507,"&gt;="&amp;N337)/SUMIF($N$8:$N$507,"&gt;0"))</f>
        <v/>
      </c>
      <c r="Q337" s="28">
        <f>IF(O337="","",IF(SUMIF($N$8:$N$507,"&gt;"&amp;N337)/SUMIF($N$8:$N$507,"&gt;0")&lt;$B$6,"A",IF(SUMIF($N$8:$N$507,"&gt;"&amp;N337)/SUMIF($N$8:$N$507,"&gt;0")&lt;$D$6,"B","C")))</f>
        <v/>
      </c>
      <c r="R337" s="29">
        <f>IF(O337="","",IF(COUNT(B337:M337)&lt;3,"",STDEVP(B337:M337)/AVERAGE(B337:M337)))</f>
        <v/>
      </c>
      <c r="S337" s="28">
        <f>IF(R337="","",IF(R337&lt;=$G$6,"X",IF(R337&lt;=$I$6,"Y","Z")))</f>
        <v/>
      </c>
    </row>
    <row r="338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6">
        <f>IF(COUNT(B338:M338)=0,"",SUM(B338:M338))</f>
        <v/>
      </c>
      <c r="O338" s="27">
        <f>IF(N338="","",IF(N338&lt;=0,"",N338/SUMIF($N$8:$N$507,"&gt;0")))</f>
        <v/>
      </c>
      <c r="P338" s="27">
        <f>IF(O338="","",SUMIF($N$8:$N$507,"&gt;="&amp;N338)/SUMIF($N$8:$N$507,"&gt;0"))</f>
        <v/>
      </c>
      <c r="Q338" s="28">
        <f>IF(O338="","",IF(SUMIF($N$8:$N$507,"&gt;"&amp;N338)/SUMIF($N$8:$N$507,"&gt;0")&lt;$B$6,"A",IF(SUMIF($N$8:$N$507,"&gt;"&amp;N338)/SUMIF($N$8:$N$507,"&gt;0")&lt;$D$6,"B","C")))</f>
        <v/>
      </c>
      <c r="R338" s="29">
        <f>IF(O338="","",IF(COUNT(B338:M338)&lt;3,"",STDEVP(B338:M338)/AVERAGE(B338:M338)))</f>
        <v/>
      </c>
      <c r="S338" s="28">
        <f>IF(R338="","",IF(R338&lt;=$G$6,"X",IF(R338&lt;=$I$6,"Y","Z")))</f>
        <v/>
      </c>
    </row>
    <row r="339">
      <c r="A339" s="24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6">
        <f>IF(COUNT(B339:M339)=0,"",SUM(B339:M339))</f>
        <v/>
      </c>
      <c r="O339" s="27">
        <f>IF(N339="","",IF(N339&lt;=0,"",N339/SUMIF($N$8:$N$507,"&gt;0")))</f>
        <v/>
      </c>
      <c r="P339" s="27">
        <f>IF(O339="","",SUMIF($N$8:$N$507,"&gt;="&amp;N339)/SUMIF($N$8:$N$507,"&gt;0"))</f>
        <v/>
      </c>
      <c r="Q339" s="28">
        <f>IF(O339="","",IF(SUMIF($N$8:$N$507,"&gt;"&amp;N339)/SUMIF($N$8:$N$507,"&gt;0")&lt;$B$6,"A",IF(SUMIF($N$8:$N$507,"&gt;"&amp;N339)/SUMIF($N$8:$N$507,"&gt;0")&lt;$D$6,"B","C")))</f>
        <v/>
      </c>
      <c r="R339" s="29">
        <f>IF(O339="","",IF(COUNT(B339:M339)&lt;3,"",STDEVP(B339:M339)/AVERAGE(B339:M339)))</f>
        <v/>
      </c>
      <c r="S339" s="28">
        <f>IF(R339="","",IF(R339&lt;=$G$6,"X",IF(R339&lt;=$I$6,"Y","Z")))</f>
        <v/>
      </c>
    </row>
    <row r="340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6">
        <f>IF(COUNT(B340:M340)=0,"",SUM(B340:M340))</f>
        <v/>
      </c>
      <c r="O340" s="27">
        <f>IF(N340="","",IF(N340&lt;=0,"",N340/SUMIF($N$8:$N$507,"&gt;0")))</f>
        <v/>
      </c>
      <c r="P340" s="27">
        <f>IF(O340="","",SUMIF($N$8:$N$507,"&gt;="&amp;N340)/SUMIF($N$8:$N$507,"&gt;0"))</f>
        <v/>
      </c>
      <c r="Q340" s="28">
        <f>IF(O340="","",IF(SUMIF($N$8:$N$507,"&gt;"&amp;N340)/SUMIF($N$8:$N$507,"&gt;0")&lt;$B$6,"A",IF(SUMIF($N$8:$N$507,"&gt;"&amp;N340)/SUMIF($N$8:$N$507,"&gt;0")&lt;$D$6,"B","C")))</f>
        <v/>
      </c>
      <c r="R340" s="29">
        <f>IF(O340="","",IF(COUNT(B340:M340)&lt;3,"",STDEVP(B340:M340)/AVERAGE(B340:M340)))</f>
        <v/>
      </c>
      <c r="S340" s="28">
        <f>IF(R340="","",IF(R340&lt;=$G$6,"X",IF(R340&lt;=$I$6,"Y","Z")))</f>
        <v/>
      </c>
    </row>
    <row r="341">
      <c r="A341" s="24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6">
        <f>IF(COUNT(B341:M341)=0,"",SUM(B341:M341))</f>
        <v/>
      </c>
      <c r="O341" s="27">
        <f>IF(N341="","",IF(N341&lt;=0,"",N341/SUMIF($N$8:$N$507,"&gt;0")))</f>
        <v/>
      </c>
      <c r="P341" s="27">
        <f>IF(O341="","",SUMIF($N$8:$N$507,"&gt;="&amp;N341)/SUMIF($N$8:$N$507,"&gt;0"))</f>
        <v/>
      </c>
      <c r="Q341" s="28">
        <f>IF(O341="","",IF(SUMIF($N$8:$N$507,"&gt;"&amp;N341)/SUMIF($N$8:$N$507,"&gt;0")&lt;$B$6,"A",IF(SUMIF($N$8:$N$507,"&gt;"&amp;N341)/SUMIF($N$8:$N$507,"&gt;0")&lt;$D$6,"B","C")))</f>
        <v/>
      </c>
      <c r="R341" s="29">
        <f>IF(O341="","",IF(COUNT(B341:M341)&lt;3,"",STDEVP(B341:M341)/AVERAGE(B341:M341)))</f>
        <v/>
      </c>
      <c r="S341" s="28">
        <f>IF(R341="","",IF(R341&lt;=$G$6,"X",IF(R341&lt;=$I$6,"Y","Z")))</f>
        <v/>
      </c>
    </row>
    <row r="34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6">
        <f>IF(COUNT(B342:M342)=0,"",SUM(B342:M342))</f>
        <v/>
      </c>
      <c r="O342" s="27">
        <f>IF(N342="","",IF(N342&lt;=0,"",N342/SUMIF($N$8:$N$507,"&gt;0")))</f>
        <v/>
      </c>
      <c r="P342" s="27">
        <f>IF(O342="","",SUMIF($N$8:$N$507,"&gt;="&amp;N342)/SUMIF($N$8:$N$507,"&gt;0"))</f>
        <v/>
      </c>
      <c r="Q342" s="28">
        <f>IF(O342="","",IF(SUMIF($N$8:$N$507,"&gt;"&amp;N342)/SUMIF($N$8:$N$507,"&gt;0")&lt;$B$6,"A",IF(SUMIF($N$8:$N$507,"&gt;"&amp;N342)/SUMIF($N$8:$N$507,"&gt;0")&lt;$D$6,"B","C")))</f>
        <v/>
      </c>
      <c r="R342" s="29">
        <f>IF(O342="","",IF(COUNT(B342:M342)&lt;3,"",STDEVP(B342:M342)/AVERAGE(B342:M342)))</f>
        <v/>
      </c>
      <c r="S342" s="28">
        <f>IF(R342="","",IF(R342&lt;=$G$6,"X",IF(R342&lt;=$I$6,"Y","Z")))</f>
        <v/>
      </c>
    </row>
    <row r="343">
      <c r="A343" s="24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6">
        <f>IF(COUNT(B343:M343)=0,"",SUM(B343:M343))</f>
        <v/>
      </c>
      <c r="O343" s="27">
        <f>IF(N343="","",IF(N343&lt;=0,"",N343/SUMIF($N$8:$N$507,"&gt;0")))</f>
        <v/>
      </c>
      <c r="P343" s="27">
        <f>IF(O343="","",SUMIF($N$8:$N$507,"&gt;="&amp;N343)/SUMIF($N$8:$N$507,"&gt;0"))</f>
        <v/>
      </c>
      <c r="Q343" s="28">
        <f>IF(O343="","",IF(SUMIF($N$8:$N$507,"&gt;"&amp;N343)/SUMIF($N$8:$N$507,"&gt;0")&lt;$B$6,"A",IF(SUMIF($N$8:$N$507,"&gt;"&amp;N343)/SUMIF($N$8:$N$507,"&gt;0")&lt;$D$6,"B","C")))</f>
        <v/>
      </c>
      <c r="R343" s="29">
        <f>IF(O343="","",IF(COUNT(B343:M343)&lt;3,"",STDEVP(B343:M343)/AVERAGE(B343:M343)))</f>
        <v/>
      </c>
      <c r="S343" s="28">
        <f>IF(R343="","",IF(R343&lt;=$G$6,"X",IF(R343&lt;=$I$6,"Y","Z")))</f>
        <v/>
      </c>
    </row>
    <row r="344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6">
        <f>IF(COUNT(B344:M344)=0,"",SUM(B344:M344))</f>
        <v/>
      </c>
      <c r="O344" s="27">
        <f>IF(N344="","",IF(N344&lt;=0,"",N344/SUMIF($N$8:$N$507,"&gt;0")))</f>
        <v/>
      </c>
      <c r="P344" s="27">
        <f>IF(O344="","",SUMIF($N$8:$N$507,"&gt;="&amp;N344)/SUMIF($N$8:$N$507,"&gt;0"))</f>
        <v/>
      </c>
      <c r="Q344" s="28">
        <f>IF(O344="","",IF(SUMIF($N$8:$N$507,"&gt;"&amp;N344)/SUMIF($N$8:$N$507,"&gt;0")&lt;$B$6,"A",IF(SUMIF($N$8:$N$507,"&gt;"&amp;N344)/SUMIF($N$8:$N$507,"&gt;0")&lt;$D$6,"B","C")))</f>
        <v/>
      </c>
      <c r="R344" s="29">
        <f>IF(O344="","",IF(COUNT(B344:M344)&lt;3,"",STDEVP(B344:M344)/AVERAGE(B344:M344)))</f>
        <v/>
      </c>
      <c r="S344" s="28">
        <f>IF(R344="","",IF(R344&lt;=$G$6,"X",IF(R344&lt;=$I$6,"Y","Z")))</f>
        <v/>
      </c>
    </row>
    <row r="345">
      <c r="A345" s="24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6">
        <f>IF(COUNT(B345:M345)=0,"",SUM(B345:M345))</f>
        <v/>
      </c>
      <c r="O345" s="27">
        <f>IF(N345="","",IF(N345&lt;=0,"",N345/SUMIF($N$8:$N$507,"&gt;0")))</f>
        <v/>
      </c>
      <c r="P345" s="27">
        <f>IF(O345="","",SUMIF($N$8:$N$507,"&gt;="&amp;N345)/SUMIF($N$8:$N$507,"&gt;0"))</f>
        <v/>
      </c>
      <c r="Q345" s="28">
        <f>IF(O345="","",IF(SUMIF($N$8:$N$507,"&gt;"&amp;N345)/SUMIF($N$8:$N$507,"&gt;0")&lt;$B$6,"A",IF(SUMIF($N$8:$N$507,"&gt;"&amp;N345)/SUMIF($N$8:$N$507,"&gt;0")&lt;$D$6,"B","C")))</f>
        <v/>
      </c>
      <c r="R345" s="29">
        <f>IF(O345="","",IF(COUNT(B345:M345)&lt;3,"",STDEVP(B345:M345)/AVERAGE(B345:M345)))</f>
        <v/>
      </c>
      <c r="S345" s="28">
        <f>IF(R345="","",IF(R345&lt;=$G$6,"X",IF(R345&lt;=$I$6,"Y","Z")))</f>
        <v/>
      </c>
    </row>
    <row r="346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6">
        <f>IF(COUNT(B346:M346)=0,"",SUM(B346:M346))</f>
        <v/>
      </c>
      <c r="O346" s="27">
        <f>IF(N346="","",IF(N346&lt;=0,"",N346/SUMIF($N$8:$N$507,"&gt;0")))</f>
        <v/>
      </c>
      <c r="P346" s="27">
        <f>IF(O346="","",SUMIF($N$8:$N$507,"&gt;="&amp;N346)/SUMIF($N$8:$N$507,"&gt;0"))</f>
        <v/>
      </c>
      <c r="Q346" s="28">
        <f>IF(O346="","",IF(SUMIF($N$8:$N$507,"&gt;"&amp;N346)/SUMIF($N$8:$N$507,"&gt;0")&lt;$B$6,"A",IF(SUMIF($N$8:$N$507,"&gt;"&amp;N346)/SUMIF($N$8:$N$507,"&gt;0")&lt;$D$6,"B","C")))</f>
        <v/>
      </c>
      <c r="R346" s="29">
        <f>IF(O346="","",IF(COUNT(B346:M346)&lt;3,"",STDEVP(B346:M346)/AVERAGE(B346:M346)))</f>
        <v/>
      </c>
      <c r="S346" s="28">
        <f>IF(R346="","",IF(R346&lt;=$G$6,"X",IF(R346&lt;=$I$6,"Y","Z")))</f>
        <v/>
      </c>
    </row>
    <row r="347">
      <c r="A347" s="24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6">
        <f>IF(COUNT(B347:M347)=0,"",SUM(B347:M347))</f>
        <v/>
      </c>
      <c r="O347" s="27">
        <f>IF(N347="","",IF(N347&lt;=0,"",N347/SUMIF($N$8:$N$507,"&gt;0")))</f>
        <v/>
      </c>
      <c r="P347" s="27">
        <f>IF(O347="","",SUMIF($N$8:$N$507,"&gt;="&amp;N347)/SUMIF($N$8:$N$507,"&gt;0"))</f>
        <v/>
      </c>
      <c r="Q347" s="28">
        <f>IF(O347="","",IF(SUMIF($N$8:$N$507,"&gt;"&amp;N347)/SUMIF($N$8:$N$507,"&gt;0")&lt;$B$6,"A",IF(SUMIF($N$8:$N$507,"&gt;"&amp;N347)/SUMIF($N$8:$N$507,"&gt;0")&lt;$D$6,"B","C")))</f>
        <v/>
      </c>
      <c r="R347" s="29">
        <f>IF(O347="","",IF(COUNT(B347:M347)&lt;3,"",STDEVP(B347:M347)/AVERAGE(B347:M347)))</f>
        <v/>
      </c>
      <c r="S347" s="28">
        <f>IF(R347="","",IF(R347&lt;=$G$6,"X",IF(R347&lt;=$I$6,"Y","Z")))</f>
        <v/>
      </c>
    </row>
    <row r="348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6">
        <f>IF(COUNT(B348:M348)=0,"",SUM(B348:M348))</f>
        <v/>
      </c>
      <c r="O348" s="27">
        <f>IF(N348="","",IF(N348&lt;=0,"",N348/SUMIF($N$8:$N$507,"&gt;0")))</f>
        <v/>
      </c>
      <c r="P348" s="27">
        <f>IF(O348="","",SUMIF($N$8:$N$507,"&gt;="&amp;N348)/SUMIF($N$8:$N$507,"&gt;0"))</f>
        <v/>
      </c>
      <c r="Q348" s="28">
        <f>IF(O348="","",IF(SUMIF($N$8:$N$507,"&gt;"&amp;N348)/SUMIF($N$8:$N$507,"&gt;0")&lt;$B$6,"A",IF(SUMIF($N$8:$N$507,"&gt;"&amp;N348)/SUMIF($N$8:$N$507,"&gt;0")&lt;$D$6,"B","C")))</f>
        <v/>
      </c>
      <c r="R348" s="29">
        <f>IF(O348="","",IF(COUNT(B348:M348)&lt;3,"",STDEVP(B348:M348)/AVERAGE(B348:M348)))</f>
        <v/>
      </c>
      <c r="S348" s="28">
        <f>IF(R348="","",IF(R348&lt;=$G$6,"X",IF(R348&lt;=$I$6,"Y","Z")))</f>
        <v/>
      </c>
    </row>
    <row r="349">
      <c r="A349" s="24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6">
        <f>IF(COUNT(B349:M349)=0,"",SUM(B349:M349))</f>
        <v/>
      </c>
      <c r="O349" s="27">
        <f>IF(N349="","",IF(N349&lt;=0,"",N349/SUMIF($N$8:$N$507,"&gt;0")))</f>
        <v/>
      </c>
      <c r="P349" s="27">
        <f>IF(O349="","",SUMIF($N$8:$N$507,"&gt;="&amp;N349)/SUMIF($N$8:$N$507,"&gt;0"))</f>
        <v/>
      </c>
      <c r="Q349" s="28">
        <f>IF(O349="","",IF(SUMIF($N$8:$N$507,"&gt;"&amp;N349)/SUMIF($N$8:$N$507,"&gt;0")&lt;$B$6,"A",IF(SUMIF($N$8:$N$507,"&gt;"&amp;N349)/SUMIF($N$8:$N$507,"&gt;0")&lt;$D$6,"B","C")))</f>
        <v/>
      </c>
      <c r="R349" s="29">
        <f>IF(O349="","",IF(COUNT(B349:M349)&lt;3,"",STDEVP(B349:M349)/AVERAGE(B349:M349)))</f>
        <v/>
      </c>
      <c r="S349" s="28">
        <f>IF(R349="","",IF(R349&lt;=$G$6,"X",IF(R349&lt;=$I$6,"Y","Z")))</f>
        <v/>
      </c>
    </row>
    <row r="350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6">
        <f>IF(COUNT(B350:M350)=0,"",SUM(B350:M350))</f>
        <v/>
      </c>
      <c r="O350" s="27">
        <f>IF(N350="","",IF(N350&lt;=0,"",N350/SUMIF($N$8:$N$507,"&gt;0")))</f>
        <v/>
      </c>
      <c r="P350" s="27">
        <f>IF(O350="","",SUMIF($N$8:$N$507,"&gt;="&amp;N350)/SUMIF($N$8:$N$507,"&gt;0"))</f>
        <v/>
      </c>
      <c r="Q350" s="28">
        <f>IF(O350="","",IF(SUMIF($N$8:$N$507,"&gt;"&amp;N350)/SUMIF($N$8:$N$507,"&gt;0")&lt;$B$6,"A",IF(SUMIF($N$8:$N$507,"&gt;"&amp;N350)/SUMIF($N$8:$N$507,"&gt;0")&lt;$D$6,"B","C")))</f>
        <v/>
      </c>
      <c r="R350" s="29">
        <f>IF(O350="","",IF(COUNT(B350:M350)&lt;3,"",STDEVP(B350:M350)/AVERAGE(B350:M350)))</f>
        <v/>
      </c>
      <c r="S350" s="28">
        <f>IF(R350="","",IF(R350&lt;=$G$6,"X",IF(R350&lt;=$I$6,"Y","Z")))</f>
        <v/>
      </c>
    </row>
    <row r="351">
      <c r="A351" s="24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6">
        <f>IF(COUNT(B351:M351)=0,"",SUM(B351:M351))</f>
        <v/>
      </c>
      <c r="O351" s="27">
        <f>IF(N351="","",IF(N351&lt;=0,"",N351/SUMIF($N$8:$N$507,"&gt;0")))</f>
        <v/>
      </c>
      <c r="P351" s="27">
        <f>IF(O351="","",SUMIF($N$8:$N$507,"&gt;="&amp;N351)/SUMIF($N$8:$N$507,"&gt;0"))</f>
        <v/>
      </c>
      <c r="Q351" s="28">
        <f>IF(O351="","",IF(SUMIF($N$8:$N$507,"&gt;"&amp;N351)/SUMIF($N$8:$N$507,"&gt;0")&lt;$B$6,"A",IF(SUMIF($N$8:$N$507,"&gt;"&amp;N351)/SUMIF($N$8:$N$507,"&gt;0")&lt;$D$6,"B","C")))</f>
        <v/>
      </c>
      <c r="R351" s="29">
        <f>IF(O351="","",IF(COUNT(B351:M351)&lt;3,"",STDEVP(B351:M351)/AVERAGE(B351:M351)))</f>
        <v/>
      </c>
      <c r="S351" s="28">
        <f>IF(R351="","",IF(R351&lt;=$G$6,"X",IF(R351&lt;=$I$6,"Y","Z")))</f>
        <v/>
      </c>
    </row>
    <row r="35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6">
        <f>IF(COUNT(B352:M352)=0,"",SUM(B352:M352))</f>
        <v/>
      </c>
      <c r="O352" s="27">
        <f>IF(N352="","",IF(N352&lt;=0,"",N352/SUMIF($N$8:$N$507,"&gt;0")))</f>
        <v/>
      </c>
      <c r="P352" s="27">
        <f>IF(O352="","",SUMIF($N$8:$N$507,"&gt;="&amp;N352)/SUMIF($N$8:$N$507,"&gt;0"))</f>
        <v/>
      </c>
      <c r="Q352" s="28">
        <f>IF(O352="","",IF(SUMIF($N$8:$N$507,"&gt;"&amp;N352)/SUMIF($N$8:$N$507,"&gt;0")&lt;$B$6,"A",IF(SUMIF($N$8:$N$507,"&gt;"&amp;N352)/SUMIF($N$8:$N$507,"&gt;0")&lt;$D$6,"B","C")))</f>
        <v/>
      </c>
      <c r="R352" s="29">
        <f>IF(O352="","",IF(COUNT(B352:M352)&lt;3,"",STDEVP(B352:M352)/AVERAGE(B352:M352)))</f>
        <v/>
      </c>
      <c r="S352" s="28">
        <f>IF(R352="","",IF(R352&lt;=$G$6,"X",IF(R352&lt;=$I$6,"Y","Z")))</f>
        <v/>
      </c>
    </row>
    <row r="353">
      <c r="A353" s="24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6">
        <f>IF(COUNT(B353:M353)=0,"",SUM(B353:M353))</f>
        <v/>
      </c>
      <c r="O353" s="27">
        <f>IF(N353="","",IF(N353&lt;=0,"",N353/SUMIF($N$8:$N$507,"&gt;0")))</f>
        <v/>
      </c>
      <c r="P353" s="27">
        <f>IF(O353="","",SUMIF($N$8:$N$507,"&gt;="&amp;N353)/SUMIF($N$8:$N$507,"&gt;0"))</f>
        <v/>
      </c>
      <c r="Q353" s="28">
        <f>IF(O353="","",IF(SUMIF($N$8:$N$507,"&gt;"&amp;N353)/SUMIF($N$8:$N$507,"&gt;0")&lt;$B$6,"A",IF(SUMIF($N$8:$N$507,"&gt;"&amp;N353)/SUMIF($N$8:$N$507,"&gt;0")&lt;$D$6,"B","C")))</f>
        <v/>
      </c>
      <c r="R353" s="29">
        <f>IF(O353="","",IF(COUNT(B353:M353)&lt;3,"",STDEVP(B353:M353)/AVERAGE(B353:M353)))</f>
        <v/>
      </c>
      <c r="S353" s="28">
        <f>IF(R353="","",IF(R353&lt;=$G$6,"X",IF(R353&lt;=$I$6,"Y","Z")))</f>
        <v/>
      </c>
    </row>
    <row r="354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6">
        <f>IF(COUNT(B354:M354)=0,"",SUM(B354:M354))</f>
        <v/>
      </c>
      <c r="O354" s="27">
        <f>IF(N354="","",IF(N354&lt;=0,"",N354/SUMIF($N$8:$N$507,"&gt;0")))</f>
        <v/>
      </c>
      <c r="P354" s="27">
        <f>IF(O354="","",SUMIF($N$8:$N$507,"&gt;="&amp;N354)/SUMIF($N$8:$N$507,"&gt;0"))</f>
        <v/>
      </c>
      <c r="Q354" s="28">
        <f>IF(O354="","",IF(SUMIF($N$8:$N$507,"&gt;"&amp;N354)/SUMIF($N$8:$N$507,"&gt;0")&lt;$B$6,"A",IF(SUMIF($N$8:$N$507,"&gt;"&amp;N354)/SUMIF($N$8:$N$507,"&gt;0")&lt;$D$6,"B","C")))</f>
        <v/>
      </c>
      <c r="R354" s="29">
        <f>IF(O354="","",IF(COUNT(B354:M354)&lt;3,"",STDEVP(B354:M354)/AVERAGE(B354:M354)))</f>
        <v/>
      </c>
      <c r="S354" s="28">
        <f>IF(R354="","",IF(R354&lt;=$G$6,"X",IF(R354&lt;=$I$6,"Y","Z")))</f>
        <v/>
      </c>
    </row>
    <row r="355">
      <c r="A355" s="24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6">
        <f>IF(COUNT(B355:M355)=0,"",SUM(B355:M355))</f>
        <v/>
      </c>
      <c r="O355" s="27">
        <f>IF(N355="","",IF(N355&lt;=0,"",N355/SUMIF($N$8:$N$507,"&gt;0")))</f>
        <v/>
      </c>
      <c r="P355" s="27">
        <f>IF(O355="","",SUMIF($N$8:$N$507,"&gt;="&amp;N355)/SUMIF($N$8:$N$507,"&gt;0"))</f>
        <v/>
      </c>
      <c r="Q355" s="28">
        <f>IF(O355="","",IF(SUMIF($N$8:$N$507,"&gt;"&amp;N355)/SUMIF($N$8:$N$507,"&gt;0")&lt;$B$6,"A",IF(SUMIF($N$8:$N$507,"&gt;"&amp;N355)/SUMIF($N$8:$N$507,"&gt;0")&lt;$D$6,"B","C")))</f>
        <v/>
      </c>
      <c r="R355" s="29">
        <f>IF(O355="","",IF(COUNT(B355:M355)&lt;3,"",STDEVP(B355:M355)/AVERAGE(B355:M355)))</f>
        <v/>
      </c>
      <c r="S355" s="28">
        <f>IF(R355="","",IF(R355&lt;=$G$6,"X",IF(R355&lt;=$I$6,"Y","Z")))</f>
        <v/>
      </c>
    </row>
    <row r="356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6">
        <f>IF(COUNT(B356:M356)=0,"",SUM(B356:M356))</f>
        <v/>
      </c>
      <c r="O356" s="27">
        <f>IF(N356="","",IF(N356&lt;=0,"",N356/SUMIF($N$8:$N$507,"&gt;0")))</f>
        <v/>
      </c>
      <c r="P356" s="27">
        <f>IF(O356="","",SUMIF($N$8:$N$507,"&gt;="&amp;N356)/SUMIF($N$8:$N$507,"&gt;0"))</f>
        <v/>
      </c>
      <c r="Q356" s="28">
        <f>IF(O356="","",IF(SUMIF($N$8:$N$507,"&gt;"&amp;N356)/SUMIF($N$8:$N$507,"&gt;0")&lt;$B$6,"A",IF(SUMIF($N$8:$N$507,"&gt;"&amp;N356)/SUMIF($N$8:$N$507,"&gt;0")&lt;$D$6,"B","C")))</f>
        <v/>
      </c>
      <c r="R356" s="29">
        <f>IF(O356="","",IF(COUNT(B356:M356)&lt;3,"",STDEVP(B356:M356)/AVERAGE(B356:M356)))</f>
        <v/>
      </c>
      <c r="S356" s="28">
        <f>IF(R356="","",IF(R356&lt;=$G$6,"X",IF(R356&lt;=$I$6,"Y","Z")))</f>
        <v/>
      </c>
    </row>
    <row r="357">
      <c r="A357" s="24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6">
        <f>IF(COUNT(B357:M357)=0,"",SUM(B357:M357))</f>
        <v/>
      </c>
      <c r="O357" s="27">
        <f>IF(N357="","",IF(N357&lt;=0,"",N357/SUMIF($N$8:$N$507,"&gt;0")))</f>
        <v/>
      </c>
      <c r="P357" s="27">
        <f>IF(O357="","",SUMIF($N$8:$N$507,"&gt;="&amp;N357)/SUMIF($N$8:$N$507,"&gt;0"))</f>
        <v/>
      </c>
      <c r="Q357" s="28">
        <f>IF(O357="","",IF(SUMIF($N$8:$N$507,"&gt;"&amp;N357)/SUMIF($N$8:$N$507,"&gt;0")&lt;$B$6,"A",IF(SUMIF($N$8:$N$507,"&gt;"&amp;N357)/SUMIF($N$8:$N$507,"&gt;0")&lt;$D$6,"B","C")))</f>
        <v/>
      </c>
      <c r="R357" s="29">
        <f>IF(O357="","",IF(COUNT(B357:M357)&lt;3,"",STDEVP(B357:M357)/AVERAGE(B357:M357)))</f>
        <v/>
      </c>
      <c r="S357" s="28">
        <f>IF(R357="","",IF(R357&lt;=$G$6,"X",IF(R357&lt;=$I$6,"Y","Z")))</f>
        <v/>
      </c>
    </row>
    <row r="358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6">
        <f>IF(COUNT(B358:M358)=0,"",SUM(B358:M358))</f>
        <v/>
      </c>
      <c r="O358" s="27">
        <f>IF(N358="","",IF(N358&lt;=0,"",N358/SUMIF($N$8:$N$507,"&gt;0")))</f>
        <v/>
      </c>
      <c r="P358" s="27">
        <f>IF(O358="","",SUMIF($N$8:$N$507,"&gt;="&amp;N358)/SUMIF($N$8:$N$507,"&gt;0"))</f>
        <v/>
      </c>
      <c r="Q358" s="28">
        <f>IF(O358="","",IF(SUMIF($N$8:$N$507,"&gt;"&amp;N358)/SUMIF($N$8:$N$507,"&gt;0")&lt;$B$6,"A",IF(SUMIF($N$8:$N$507,"&gt;"&amp;N358)/SUMIF($N$8:$N$507,"&gt;0")&lt;$D$6,"B","C")))</f>
        <v/>
      </c>
      <c r="R358" s="29">
        <f>IF(O358="","",IF(COUNT(B358:M358)&lt;3,"",STDEVP(B358:M358)/AVERAGE(B358:M358)))</f>
        <v/>
      </c>
      <c r="S358" s="28">
        <f>IF(R358="","",IF(R358&lt;=$G$6,"X",IF(R358&lt;=$I$6,"Y","Z")))</f>
        <v/>
      </c>
    </row>
    <row r="359">
      <c r="A359" s="24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6">
        <f>IF(COUNT(B359:M359)=0,"",SUM(B359:M359))</f>
        <v/>
      </c>
      <c r="O359" s="27">
        <f>IF(N359="","",IF(N359&lt;=0,"",N359/SUMIF($N$8:$N$507,"&gt;0")))</f>
        <v/>
      </c>
      <c r="P359" s="27">
        <f>IF(O359="","",SUMIF($N$8:$N$507,"&gt;="&amp;N359)/SUMIF($N$8:$N$507,"&gt;0"))</f>
        <v/>
      </c>
      <c r="Q359" s="28">
        <f>IF(O359="","",IF(SUMIF($N$8:$N$507,"&gt;"&amp;N359)/SUMIF($N$8:$N$507,"&gt;0")&lt;$B$6,"A",IF(SUMIF($N$8:$N$507,"&gt;"&amp;N359)/SUMIF($N$8:$N$507,"&gt;0")&lt;$D$6,"B","C")))</f>
        <v/>
      </c>
      <c r="R359" s="29">
        <f>IF(O359="","",IF(COUNT(B359:M359)&lt;3,"",STDEVP(B359:M359)/AVERAGE(B359:M359)))</f>
        <v/>
      </c>
      <c r="S359" s="28">
        <f>IF(R359="","",IF(R359&lt;=$G$6,"X",IF(R359&lt;=$I$6,"Y","Z")))</f>
        <v/>
      </c>
    </row>
    <row r="360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6">
        <f>IF(COUNT(B360:M360)=0,"",SUM(B360:M360))</f>
        <v/>
      </c>
      <c r="O360" s="27">
        <f>IF(N360="","",IF(N360&lt;=0,"",N360/SUMIF($N$8:$N$507,"&gt;0")))</f>
        <v/>
      </c>
      <c r="P360" s="27">
        <f>IF(O360="","",SUMIF($N$8:$N$507,"&gt;="&amp;N360)/SUMIF($N$8:$N$507,"&gt;0"))</f>
        <v/>
      </c>
      <c r="Q360" s="28">
        <f>IF(O360="","",IF(SUMIF($N$8:$N$507,"&gt;"&amp;N360)/SUMIF($N$8:$N$507,"&gt;0")&lt;$B$6,"A",IF(SUMIF($N$8:$N$507,"&gt;"&amp;N360)/SUMIF($N$8:$N$507,"&gt;0")&lt;$D$6,"B","C")))</f>
        <v/>
      </c>
      <c r="R360" s="29">
        <f>IF(O360="","",IF(COUNT(B360:M360)&lt;3,"",STDEVP(B360:M360)/AVERAGE(B360:M360)))</f>
        <v/>
      </c>
      <c r="S360" s="28">
        <f>IF(R360="","",IF(R360&lt;=$G$6,"X",IF(R360&lt;=$I$6,"Y","Z")))</f>
        <v/>
      </c>
    </row>
    <row r="361">
      <c r="A361" s="24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6">
        <f>IF(COUNT(B361:M361)=0,"",SUM(B361:M361))</f>
        <v/>
      </c>
      <c r="O361" s="27">
        <f>IF(N361="","",IF(N361&lt;=0,"",N361/SUMIF($N$8:$N$507,"&gt;0")))</f>
        <v/>
      </c>
      <c r="P361" s="27">
        <f>IF(O361="","",SUMIF($N$8:$N$507,"&gt;="&amp;N361)/SUMIF($N$8:$N$507,"&gt;0"))</f>
        <v/>
      </c>
      <c r="Q361" s="28">
        <f>IF(O361="","",IF(SUMIF($N$8:$N$507,"&gt;"&amp;N361)/SUMIF($N$8:$N$507,"&gt;0")&lt;$B$6,"A",IF(SUMIF($N$8:$N$507,"&gt;"&amp;N361)/SUMIF($N$8:$N$507,"&gt;0")&lt;$D$6,"B","C")))</f>
        <v/>
      </c>
      <c r="R361" s="29">
        <f>IF(O361="","",IF(COUNT(B361:M361)&lt;3,"",STDEVP(B361:M361)/AVERAGE(B361:M361)))</f>
        <v/>
      </c>
      <c r="S361" s="28">
        <f>IF(R361="","",IF(R361&lt;=$G$6,"X",IF(R361&lt;=$I$6,"Y","Z")))</f>
        <v/>
      </c>
    </row>
    <row r="36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6">
        <f>IF(COUNT(B362:M362)=0,"",SUM(B362:M362))</f>
        <v/>
      </c>
      <c r="O362" s="27">
        <f>IF(N362="","",IF(N362&lt;=0,"",N362/SUMIF($N$8:$N$507,"&gt;0")))</f>
        <v/>
      </c>
      <c r="P362" s="27">
        <f>IF(O362="","",SUMIF($N$8:$N$507,"&gt;="&amp;N362)/SUMIF($N$8:$N$507,"&gt;0"))</f>
        <v/>
      </c>
      <c r="Q362" s="28">
        <f>IF(O362="","",IF(SUMIF($N$8:$N$507,"&gt;"&amp;N362)/SUMIF($N$8:$N$507,"&gt;0")&lt;$B$6,"A",IF(SUMIF($N$8:$N$507,"&gt;"&amp;N362)/SUMIF($N$8:$N$507,"&gt;0")&lt;$D$6,"B","C")))</f>
        <v/>
      </c>
      <c r="R362" s="29">
        <f>IF(O362="","",IF(COUNT(B362:M362)&lt;3,"",STDEVP(B362:M362)/AVERAGE(B362:M362)))</f>
        <v/>
      </c>
      <c r="S362" s="28">
        <f>IF(R362="","",IF(R362&lt;=$G$6,"X",IF(R362&lt;=$I$6,"Y","Z")))</f>
        <v/>
      </c>
    </row>
    <row r="363">
      <c r="A363" s="24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6">
        <f>IF(COUNT(B363:M363)=0,"",SUM(B363:M363))</f>
        <v/>
      </c>
      <c r="O363" s="27">
        <f>IF(N363="","",IF(N363&lt;=0,"",N363/SUMIF($N$8:$N$507,"&gt;0")))</f>
        <v/>
      </c>
      <c r="P363" s="27">
        <f>IF(O363="","",SUMIF($N$8:$N$507,"&gt;="&amp;N363)/SUMIF($N$8:$N$507,"&gt;0"))</f>
        <v/>
      </c>
      <c r="Q363" s="28">
        <f>IF(O363="","",IF(SUMIF($N$8:$N$507,"&gt;"&amp;N363)/SUMIF($N$8:$N$507,"&gt;0")&lt;$B$6,"A",IF(SUMIF($N$8:$N$507,"&gt;"&amp;N363)/SUMIF($N$8:$N$507,"&gt;0")&lt;$D$6,"B","C")))</f>
        <v/>
      </c>
      <c r="R363" s="29">
        <f>IF(O363="","",IF(COUNT(B363:M363)&lt;3,"",STDEVP(B363:M363)/AVERAGE(B363:M363)))</f>
        <v/>
      </c>
      <c r="S363" s="28">
        <f>IF(R363="","",IF(R363&lt;=$G$6,"X",IF(R363&lt;=$I$6,"Y","Z")))</f>
        <v/>
      </c>
    </row>
    <row r="364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6">
        <f>IF(COUNT(B364:M364)=0,"",SUM(B364:M364))</f>
        <v/>
      </c>
      <c r="O364" s="27">
        <f>IF(N364="","",IF(N364&lt;=0,"",N364/SUMIF($N$8:$N$507,"&gt;0")))</f>
        <v/>
      </c>
      <c r="P364" s="27">
        <f>IF(O364="","",SUMIF($N$8:$N$507,"&gt;="&amp;N364)/SUMIF($N$8:$N$507,"&gt;0"))</f>
        <v/>
      </c>
      <c r="Q364" s="28">
        <f>IF(O364="","",IF(SUMIF($N$8:$N$507,"&gt;"&amp;N364)/SUMIF($N$8:$N$507,"&gt;0")&lt;$B$6,"A",IF(SUMIF($N$8:$N$507,"&gt;"&amp;N364)/SUMIF($N$8:$N$507,"&gt;0")&lt;$D$6,"B","C")))</f>
        <v/>
      </c>
      <c r="R364" s="29">
        <f>IF(O364="","",IF(COUNT(B364:M364)&lt;3,"",STDEVP(B364:M364)/AVERAGE(B364:M364)))</f>
        <v/>
      </c>
      <c r="S364" s="28">
        <f>IF(R364="","",IF(R364&lt;=$G$6,"X",IF(R364&lt;=$I$6,"Y","Z")))</f>
        <v/>
      </c>
    </row>
    <row r="365">
      <c r="A365" s="24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6">
        <f>IF(COUNT(B365:M365)=0,"",SUM(B365:M365))</f>
        <v/>
      </c>
      <c r="O365" s="27">
        <f>IF(N365="","",IF(N365&lt;=0,"",N365/SUMIF($N$8:$N$507,"&gt;0")))</f>
        <v/>
      </c>
      <c r="P365" s="27">
        <f>IF(O365="","",SUMIF($N$8:$N$507,"&gt;="&amp;N365)/SUMIF($N$8:$N$507,"&gt;0"))</f>
        <v/>
      </c>
      <c r="Q365" s="28">
        <f>IF(O365="","",IF(SUMIF($N$8:$N$507,"&gt;"&amp;N365)/SUMIF($N$8:$N$507,"&gt;0")&lt;$B$6,"A",IF(SUMIF($N$8:$N$507,"&gt;"&amp;N365)/SUMIF($N$8:$N$507,"&gt;0")&lt;$D$6,"B","C")))</f>
        <v/>
      </c>
      <c r="R365" s="29">
        <f>IF(O365="","",IF(COUNT(B365:M365)&lt;3,"",STDEVP(B365:M365)/AVERAGE(B365:M365)))</f>
        <v/>
      </c>
      <c r="S365" s="28">
        <f>IF(R365="","",IF(R365&lt;=$G$6,"X",IF(R365&lt;=$I$6,"Y","Z")))</f>
        <v/>
      </c>
    </row>
    <row r="366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6">
        <f>IF(COUNT(B366:M366)=0,"",SUM(B366:M366))</f>
        <v/>
      </c>
      <c r="O366" s="27">
        <f>IF(N366="","",IF(N366&lt;=0,"",N366/SUMIF($N$8:$N$507,"&gt;0")))</f>
        <v/>
      </c>
      <c r="P366" s="27">
        <f>IF(O366="","",SUMIF($N$8:$N$507,"&gt;="&amp;N366)/SUMIF($N$8:$N$507,"&gt;0"))</f>
        <v/>
      </c>
      <c r="Q366" s="28">
        <f>IF(O366="","",IF(SUMIF($N$8:$N$507,"&gt;"&amp;N366)/SUMIF($N$8:$N$507,"&gt;0")&lt;$B$6,"A",IF(SUMIF($N$8:$N$507,"&gt;"&amp;N366)/SUMIF($N$8:$N$507,"&gt;0")&lt;$D$6,"B","C")))</f>
        <v/>
      </c>
      <c r="R366" s="29">
        <f>IF(O366="","",IF(COUNT(B366:M366)&lt;3,"",STDEVP(B366:M366)/AVERAGE(B366:M366)))</f>
        <v/>
      </c>
      <c r="S366" s="28">
        <f>IF(R366="","",IF(R366&lt;=$G$6,"X",IF(R366&lt;=$I$6,"Y","Z")))</f>
        <v/>
      </c>
    </row>
    <row r="367">
      <c r="A367" s="24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6">
        <f>IF(COUNT(B367:M367)=0,"",SUM(B367:M367))</f>
        <v/>
      </c>
      <c r="O367" s="27">
        <f>IF(N367="","",IF(N367&lt;=0,"",N367/SUMIF($N$8:$N$507,"&gt;0")))</f>
        <v/>
      </c>
      <c r="P367" s="27">
        <f>IF(O367="","",SUMIF($N$8:$N$507,"&gt;="&amp;N367)/SUMIF($N$8:$N$507,"&gt;0"))</f>
        <v/>
      </c>
      <c r="Q367" s="28">
        <f>IF(O367="","",IF(SUMIF($N$8:$N$507,"&gt;"&amp;N367)/SUMIF($N$8:$N$507,"&gt;0")&lt;$B$6,"A",IF(SUMIF($N$8:$N$507,"&gt;"&amp;N367)/SUMIF($N$8:$N$507,"&gt;0")&lt;$D$6,"B","C")))</f>
        <v/>
      </c>
      <c r="R367" s="29">
        <f>IF(O367="","",IF(COUNT(B367:M367)&lt;3,"",STDEVP(B367:M367)/AVERAGE(B367:M367)))</f>
        <v/>
      </c>
      <c r="S367" s="28">
        <f>IF(R367="","",IF(R367&lt;=$G$6,"X",IF(R367&lt;=$I$6,"Y","Z")))</f>
        <v/>
      </c>
    </row>
    <row r="368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6">
        <f>IF(COUNT(B368:M368)=0,"",SUM(B368:M368))</f>
        <v/>
      </c>
      <c r="O368" s="27">
        <f>IF(N368="","",IF(N368&lt;=0,"",N368/SUMIF($N$8:$N$507,"&gt;0")))</f>
        <v/>
      </c>
      <c r="P368" s="27">
        <f>IF(O368="","",SUMIF($N$8:$N$507,"&gt;="&amp;N368)/SUMIF($N$8:$N$507,"&gt;0"))</f>
        <v/>
      </c>
      <c r="Q368" s="28">
        <f>IF(O368="","",IF(SUMIF($N$8:$N$507,"&gt;"&amp;N368)/SUMIF($N$8:$N$507,"&gt;0")&lt;$B$6,"A",IF(SUMIF($N$8:$N$507,"&gt;"&amp;N368)/SUMIF($N$8:$N$507,"&gt;0")&lt;$D$6,"B","C")))</f>
        <v/>
      </c>
      <c r="R368" s="29">
        <f>IF(O368="","",IF(COUNT(B368:M368)&lt;3,"",STDEVP(B368:M368)/AVERAGE(B368:M368)))</f>
        <v/>
      </c>
      <c r="S368" s="28">
        <f>IF(R368="","",IF(R368&lt;=$G$6,"X",IF(R368&lt;=$I$6,"Y","Z")))</f>
        <v/>
      </c>
    </row>
    <row r="369">
      <c r="A369" s="24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6">
        <f>IF(COUNT(B369:M369)=0,"",SUM(B369:M369))</f>
        <v/>
      </c>
      <c r="O369" s="27">
        <f>IF(N369="","",IF(N369&lt;=0,"",N369/SUMIF($N$8:$N$507,"&gt;0")))</f>
        <v/>
      </c>
      <c r="P369" s="27">
        <f>IF(O369="","",SUMIF($N$8:$N$507,"&gt;="&amp;N369)/SUMIF($N$8:$N$507,"&gt;0"))</f>
        <v/>
      </c>
      <c r="Q369" s="28">
        <f>IF(O369="","",IF(SUMIF($N$8:$N$507,"&gt;"&amp;N369)/SUMIF($N$8:$N$507,"&gt;0")&lt;$B$6,"A",IF(SUMIF($N$8:$N$507,"&gt;"&amp;N369)/SUMIF($N$8:$N$507,"&gt;0")&lt;$D$6,"B","C")))</f>
        <v/>
      </c>
      <c r="R369" s="29">
        <f>IF(O369="","",IF(COUNT(B369:M369)&lt;3,"",STDEVP(B369:M369)/AVERAGE(B369:M369)))</f>
        <v/>
      </c>
      <c r="S369" s="28">
        <f>IF(R369="","",IF(R369&lt;=$G$6,"X",IF(R369&lt;=$I$6,"Y","Z")))</f>
        <v/>
      </c>
    </row>
    <row r="370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6">
        <f>IF(COUNT(B370:M370)=0,"",SUM(B370:M370))</f>
        <v/>
      </c>
      <c r="O370" s="27">
        <f>IF(N370="","",IF(N370&lt;=0,"",N370/SUMIF($N$8:$N$507,"&gt;0")))</f>
        <v/>
      </c>
      <c r="P370" s="27">
        <f>IF(O370="","",SUMIF($N$8:$N$507,"&gt;="&amp;N370)/SUMIF($N$8:$N$507,"&gt;0"))</f>
        <v/>
      </c>
      <c r="Q370" s="28">
        <f>IF(O370="","",IF(SUMIF($N$8:$N$507,"&gt;"&amp;N370)/SUMIF($N$8:$N$507,"&gt;0")&lt;$B$6,"A",IF(SUMIF($N$8:$N$507,"&gt;"&amp;N370)/SUMIF($N$8:$N$507,"&gt;0")&lt;$D$6,"B","C")))</f>
        <v/>
      </c>
      <c r="R370" s="29">
        <f>IF(O370="","",IF(COUNT(B370:M370)&lt;3,"",STDEVP(B370:M370)/AVERAGE(B370:M370)))</f>
        <v/>
      </c>
      <c r="S370" s="28">
        <f>IF(R370="","",IF(R370&lt;=$G$6,"X",IF(R370&lt;=$I$6,"Y","Z")))</f>
        <v/>
      </c>
    </row>
    <row r="371">
      <c r="A371" s="24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6">
        <f>IF(COUNT(B371:M371)=0,"",SUM(B371:M371))</f>
        <v/>
      </c>
      <c r="O371" s="27">
        <f>IF(N371="","",IF(N371&lt;=0,"",N371/SUMIF($N$8:$N$507,"&gt;0")))</f>
        <v/>
      </c>
      <c r="P371" s="27">
        <f>IF(O371="","",SUMIF($N$8:$N$507,"&gt;="&amp;N371)/SUMIF($N$8:$N$507,"&gt;0"))</f>
        <v/>
      </c>
      <c r="Q371" s="28">
        <f>IF(O371="","",IF(SUMIF($N$8:$N$507,"&gt;"&amp;N371)/SUMIF($N$8:$N$507,"&gt;0")&lt;$B$6,"A",IF(SUMIF($N$8:$N$507,"&gt;"&amp;N371)/SUMIF($N$8:$N$507,"&gt;0")&lt;$D$6,"B","C")))</f>
        <v/>
      </c>
      <c r="R371" s="29">
        <f>IF(O371="","",IF(COUNT(B371:M371)&lt;3,"",STDEVP(B371:M371)/AVERAGE(B371:M371)))</f>
        <v/>
      </c>
      <c r="S371" s="28">
        <f>IF(R371="","",IF(R371&lt;=$G$6,"X",IF(R371&lt;=$I$6,"Y","Z")))</f>
        <v/>
      </c>
    </row>
    <row r="37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6">
        <f>IF(COUNT(B372:M372)=0,"",SUM(B372:M372))</f>
        <v/>
      </c>
      <c r="O372" s="27">
        <f>IF(N372="","",IF(N372&lt;=0,"",N372/SUMIF($N$8:$N$507,"&gt;0")))</f>
        <v/>
      </c>
      <c r="P372" s="27">
        <f>IF(O372="","",SUMIF($N$8:$N$507,"&gt;="&amp;N372)/SUMIF($N$8:$N$507,"&gt;0"))</f>
        <v/>
      </c>
      <c r="Q372" s="28">
        <f>IF(O372="","",IF(SUMIF($N$8:$N$507,"&gt;"&amp;N372)/SUMIF($N$8:$N$507,"&gt;0")&lt;$B$6,"A",IF(SUMIF($N$8:$N$507,"&gt;"&amp;N372)/SUMIF($N$8:$N$507,"&gt;0")&lt;$D$6,"B","C")))</f>
        <v/>
      </c>
      <c r="R372" s="29">
        <f>IF(O372="","",IF(COUNT(B372:M372)&lt;3,"",STDEVP(B372:M372)/AVERAGE(B372:M372)))</f>
        <v/>
      </c>
      <c r="S372" s="28">
        <f>IF(R372="","",IF(R372&lt;=$G$6,"X",IF(R372&lt;=$I$6,"Y","Z")))</f>
        <v/>
      </c>
    </row>
    <row r="373">
      <c r="A373" s="24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6">
        <f>IF(COUNT(B373:M373)=0,"",SUM(B373:M373))</f>
        <v/>
      </c>
      <c r="O373" s="27">
        <f>IF(N373="","",IF(N373&lt;=0,"",N373/SUMIF($N$8:$N$507,"&gt;0")))</f>
        <v/>
      </c>
      <c r="P373" s="27">
        <f>IF(O373="","",SUMIF($N$8:$N$507,"&gt;="&amp;N373)/SUMIF($N$8:$N$507,"&gt;0"))</f>
        <v/>
      </c>
      <c r="Q373" s="28">
        <f>IF(O373="","",IF(SUMIF($N$8:$N$507,"&gt;"&amp;N373)/SUMIF($N$8:$N$507,"&gt;0")&lt;$B$6,"A",IF(SUMIF($N$8:$N$507,"&gt;"&amp;N373)/SUMIF($N$8:$N$507,"&gt;0")&lt;$D$6,"B","C")))</f>
        <v/>
      </c>
      <c r="R373" s="29">
        <f>IF(O373="","",IF(COUNT(B373:M373)&lt;3,"",STDEVP(B373:M373)/AVERAGE(B373:M373)))</f>
        <v/>
      </c>
      <c r="S373" s="28">
        <f>IF(R373="","",IF(R373&lt;=$G$6,"X",IF(R373&lt;=$I$6,"Y","Z")))</f>
        <v/>
      </c>
    </row>
    <row r="374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6">
        <f>IF(COUNT(B374:M374)=0,"",SUM(B374:M374))</f>
        <v/>
      </c>
      <c r="O374" s="27">
        <f>IF(N374="","",IF(N374&lt;=0,"",N374/SUMIF($N$8:$N$507,"&gt;0")))</f>
        <v/>
      </c>
      <c r="P374" s="27">
        <f>IF(O374="","",SUMIF($N$8:$N$507,"&gt;="&amp;N374)/SUMIF($N$8:$N$507,"&gt;0"))</f>
        <v/>
      </c>
      <c r="Q374" s="28">
        <f>IF(O374="","",IF(SUMIF($N$8:$N$507,"&gt;"&amp;N374)/SUMIF($N$8:$N$507,"&gt;0")&lt;$B$6,"A",IF(SUMIF($N$8:$N$507,"&gt;"&amp;N374)/SUMIF($N$8:$N$507,"&gt;0")&lt;$D$6,"B","C")))</f>
        <v/>
      </c>
      <c r="R374" s="29">
        <f>IF(O374="","",IF(COUNT(B374:M374)&lt;3,"",STDEVP(B374:M374)/AVERAGE(B374:M374)))</f>
        <v/>
      </c>
      <c r="S374" s="28">
        <f>IF(R374="","",IF(R374&lt;=$G$6,"X",IF(R374&lt;=$I$6,"Y","Z")))</f>
        <v/>
      </c>
    </row>
    <row r="375">
      <c r="A375" s="24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6">
        <f>IF(COUNT(B375:M375)=0,"",SUM(B375:M375))</f>
        <v/>
      </c>
      <c r="O375" s="27">
        <f>IF(N375="","",IF(N375&lt;=0,"",N375/SUMIF($N$8:$N$507,"&gt;0")))</f>
        <v/>
      </c>
      <c r="P375" s="27">
        <f>IF(O375="","",SUMIF($N$8:$N$507,"&gt;="&amp;N375)/SUMIF($N$8:$N$507,"&gt;0"))</f>
        <v/>
      </c>
      <c r="Q375" s="28">
        <f>IF(O375="","",IF(SUMIF($N$8:$N$507,"&gt;"&amp;N375)/SUMIF($N$8:$N$507,"&gt;0")&lt;$B$6,"A",IF(SUMIF($N$8:$N$507,"&gt;"&amp;N375)/SUMIF($N$8:$N$507,"&gt;0")&lt;$D$6,"B","C")))</f>
        <v/>
      </c>
      <c r="R375" s="29">
        <f>IF(O375="","",IF(COUNT(B375:M375)&lt;3,"",STDEVP(B375:M375)/AVERAGE(B375:M375)))</f>
        <v/>
      </c>
      <c r="S375" s="28">
        <f>IF(R375="","",IF(R375&lt;=$G$6,"X",IF(R375&lt;=$I$6,"Y","Z")))</f>
        <v/>
      </c>
    </row>
    <row r="376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6">
        <f>IF(COUNT(B376:M376)=0,"",SUM(B376:M376))</f>
        <v/>
      </c>
      <c r="O376" s="27">
        <f>IF(N376="","",IF(N376&lt;=0,"",N376/SUMIF($N$8:$N$507,"&gt;0")))</f>
        <v/>
      </c>
      <c r="P376" s="27">
        <f>IF(O376="","",SUMIF($N$8:$N$507,"&gt;="&amp;N376)/SUMIF($N$8:$N$507,"&gt;0"))</f>
        <v/>
      </c>
      <c r="Q376" s="28">
        <f>IF(O376="","",IF(SUMIF($N$8:$N$507,"&gt;"&amp;N376)/SUMIF($N$8:$N$507,"&gt;0")&lt;$B$6,"A",IF(SUMIF($N$8:$N$507,"&gt;"&amp;N376)/SUMIF($N$8:$N$507,"&gt;0")&lt;$D$6,"B","C")))</f>
        <v/>
      </c>
      <c r="R376" s="29">
        <f>IF(O376="","",IF(COUNT(B376:M376)&lt;3,"",STDEVP(B376:M376)/AVERAGE(B376:M376)))</f>
        <v/>
      </c>
      <c r="S376" s="28">
        <f>IF(R376="","",IF(R376&lt;=$G$6,"X",IF(R376&lt;=$I$6,"Y","Z")))</f>
        <v/>
      </c>
    </row>
    <row r="377">
      <c r="A377" s="24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6">
        <f>IF(COUNT(B377:M377)=0,"",SUM(B377:M377))</f>
        <v/>
      </c>
      <c r="O377" s="27">
        <f>IF(N377="","",IF(N377&lt;=0,"",N377/SUMIF($N$8:$N$507,"&gt;0")))</f>
        <v/>
      </c>
      <c r="P377" s="27">
        <f>IF(O377="","",SUMIF($N$8:$N$507,"&gt;="&amp;N377)/SUMIF($N$8:$N$507,"&gt;0"))</f>
        <v/>
      </c>
      <c r="Q377" s="28">
        <f>IF(O377="","",IF(SUMIF($N$8:$N$507,"&gt;"&amp;N377)/SUMIF($N$8:$N$507,"&gt;0")&lt;$B$6,"A",IF(SUMIF($N$8:$N$507,"&gt;"&amp;N377)/SUMIF($N$8:$N$507,"&gt;0")&lt;$D$6,"B","C")))</f>
        <v/>
      </c>
      <c r="R377" s="29">
        <f>IF(O377="","",IF(COUNT(B377:M377)&lt;3,"",STDEVP(B377:M377)/AVERAGE(B377:M377)))</f>
        <v/>
      </c>
      <c r="S377" s="28">
        <f>IF(R377="","",IF(R377&lt;=$G$6,"X",IF(R377&lt;=$I$6,"Y","Z")))</f>
        <v/>
      </c>
    </row>
    <row r="378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6">
        <f>IF(COUNT(B378:M378)=0,"",SUM(B378:M378))</f>
        <v/>
      </c>
      <c r="O378" s="27">
        <f>IF(N378="","",IF(N378&lt;=0,"",N378/SUMIF($N$8:$N$507,"&gt;0")))</f>
        <v/>
      </c>
      <c r="P378" s="27">
        <f>IF(O378="","",SUMIF($N$8:$N$507,"&gt;="&amp;N378)/SUMIF($N$8:$N$507,"&gt;0"))</f>
        <v/>
      </c>
      <c r="Q378" s="28">
        <f>IF(O378="","",IF(SUMIF($N$8:$N$507,"&gt;"&amp;N378)/SUMIF($N$8:$N$507,"&gt;0")&lt;$B$6,"A",IF(SUMIF($N$8:$N$507,"&gt;"&amp;N378)/SUMIF($N$8:$N$507,"&gt;0")&lt;$D$6,"B","C")))</f>
        <v/>
      </c>
      <c r="R378" s="29">
        <f>IF(O378="","",IF(COUNT(B378:M378)&lt;3,"",STDEVP(B378:M378)/AVERAGE(B378:M378)))</f>
        <v/>
      </c>
      <c r="S378" s="28">
        <f>IF(R378="","",IF(R378&lt;=$G$6,"X",IF(R378&lt;=$I$6,"Y","Z")))</f>
        <v/>
      </c>
    </row>
    <row r="379">
      <c r="A379" s="24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6">
        <f>IF(COUNT(B379:M379)=0,"",SUM(B379:M379))</f>
        <v/>
      </c>
      <c r="O379" s="27">
        <f>IF(N379="","",IF(N379&lt;=0,"",N379/SUMIF($N$8:$N$507,"&gt;0")))</f>
        <v/>
      </c>
      <c r="P379" s="27">
        <f>IF(O379="","",SUMIF($N$8:$N$507,"&gt;="&amp;N379)/SUMIF($N$8:$N$507,"&gt;0"))</f>
        <v/>
      </c>
      <c r="Q379" s="28">
        <f>IF(O379="","",IF(SUMIF($N$8:$N$507,"&gt;"&amp;N379)/SUMIF($N$8:$N$507,"&gt;0")&lt;$B$6,"A",IF(SUMIF($N$8:$N$507,"&gt;"&amp;N379)/SUMIF($N$8:$N$507,"&gt;0")&lt;$D$6,"B","C")))</f>
        <v/>
      </c>
      <c r="R379" s="29">
        <f>IF(O379="","",IF(COUNT(B379:M379)&lt;3,"",STDEVP(B379:M379)/AVERAGE(B379:M379)))</f>
        <v/>
      </c>
      <c r="S379" s="28">
        <f>IF(R379="","",IF(R379&lt;=$G$6,"X",IF(R379&lt;=$I$6,"Y","Z")))</f>
        <v/>
      </c>
    </row>
    <row r="380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6">
        <f>IF(COUNT(B380:M380)=0,"",SUM(B380:M380))</f>
        <v/>
      </c>
      <c r="O380" s="27">
        <f>IF(N380="","",IF(N380&lt;=0,"",N380/SUMIF($N$8:$N$507,"&gt;0")))</f>
        <v/>
      </c>
      <c r="P380" s="27">
        <f>IF(O380="","",SUMIF($N$8:$N$507,"&gt;="&amp;N380)/SUMIF($N$8:$N$507,"&gt;0"))</f>
        <v/>
      </c>
      <c r="Q380" s="28">
        <f>IF(O380="","",IF(SUMIF($N$8:$N$507,"&gt;"&amp;N380)/SUMIF($N$8:$N$507,"&gt;0")&lt;$B$6,"A",IF(SUMIF($N$8:$N$507,"&gt;"&amp;N380)/SUMIF($N$8:$N$507,"&gt;0")&lt;$D$6,"B","C")))</f>
        <v/>
      </c>
      <c r="R380" s="29">
        <f>IF(O380="","",IF(COUNT(B380:M380)&lt;3,"",STDEVP(B380:M380)/AVERAGE(B380:M380)))</f>
        <v/>
      </c>
      <c r="S380" s="28">
        <f>IF(R380="","",IF(R380&lt;=$G$6,"X",IF(R380&lt;=$I$6,"Y","Z")))</f>
        <v/>
      </c>
    </row>
    <row r="381">
      <c r="A381" s="24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6">
        <f>IF(COUNT(B381:M381)=0,"",SUM(B381:M381))</f>
        <v/>
      </c>
      <c r="O381" s="27">
        <f>IF(N381="","",IF(N381&lt;=0,"",N381/SUMIF($N$8:$N$507,"&gt;0")))</f>
        <v/>
      </c>
      <c r="P381" s="27">
        <f>IF(O381="","",SUMIF($N$8:$N$507,"&gt;="&amp;N381)/SUMIF($N$8:$N$507,"&gt;0"))</f>
        <v/>
      </c>
      <c r="Q381" s="28">
        <f>IF(O381="","",IF(SUMIF($N$8:$N$507,"&gt;"&amp;N381)/SUMIF($N$8:$N$507,"&gt;0")&lt;$B$6,"A",IF(SUMIF($N$8:$N$507,"&gt;"&amp;N381)/SUMIF($N$8:$N$507,"&gt;0")&lt;$D$6,"B","C")))</f>
        <v/>
      </c>
      <c r="R381" s="29">
        <f>IF(O381="","",IF(COUNT(B381:M381)&lt;3,"",STDEVP(B381:M381)/AVERAGE(B381:M381)))</f>
        <v/>
      </c>
      <c r="S381" s="28">
        <f>IF(R381="","",IF(R381&lt;=$G$6,"X",IF(R381&lt;=$I$6,"Y","Z")))</f>
        <v/>
      </c>
    </row>
    <row r="38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6">
        <f>IF(COUNT(B382:M382)=0,"",SUM(B382:M382))</f>
        <v/>
      </c>
      <c r="O382" s="27">
        <f>IF(N382="","",IF(N382&lt;=0,"",N382/SUMIF($N$8:$N$507,"&gt;0")))</f>
        <v/>
      </c>
      <c r="P382" s="27">
        <f>IF(O382="","",SUMIF($N$8:$N$507,"&gt;="&amp;N382)/SUMIF($N$8:$N$507,"&gt;0"))</f>
        <v/>
      </c>
      <c r="Q382" s="28">
        <f>IF(O382="","",IF(SUMIF($N$8:$N$507,"&gt;"&amp;N382)/SUMIF($N$8:$N$507,"&gt;0")&lt;$B$6,"A",IF(SUMIF($N$8:$N$507,"&gt;"&amp;N382)/SUMIF($N$8:$N$507,"&gt;0")&lt;$D$6,"B","C")))</f>
        <v/>
      </c>
      <c r="R382" s="29">
        <f>IF(O382="","",IF(COUNT(B382:M382)&lt;3,"",STDEVP(B382:M382)/AVERAGE(B382:M382)))</f>
        <v/>
      </c>
      <c r="S382" s="28">
        <f>IF(R382="","",IF(R382&lt;=$G$6,"X",IF(R382&lt;=$I$6,"Y","Z")))</f>
        <v/>
      </c>
    </row>
    <row r="383">
      <c r="A383" s="24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6">
        <f>IF(COUNT(B383:M383)=0,"",SUM(B383:M383))</f>
        <v/>
      </c>
      <c r="O383" s="27">
        <f>IF(N383="","",IF(N383&lt;=0,"",N383/SUMIF($N$8:$N$507,"&gt;0")))</f>
        <v/>
      </c>
      <c r="P383" s="27">
        <f>IF(O383="","",SUMIF($N$8:$N$507,"&gt;="&amp;N383)/SUMIF($N$8:$N$507,"&gt;0"))</f>
        <v/>
      </c>
      <c r="Q383" s="28">
        <f>IF(O383="","",IF(SUMIF($N$8:$N$507,"&gt;"&amp;N383)/SUMIF($N$8:$N$507,"&gt;0")&lt;$B$6,"A",IF(SUMIF($N$8:$N$507,"&gt;"&amp;N383)/SUMIF($N$8:$N$507,"&gt;0")&lt;$D$6,"B","C")))</f>
        <v/>
      </c>
      <c r="R383" s="29">
        <f>IF(O383="","",IF(COUNT(B383:M383)&lt;3,"",STDEVP(B383:M383)/AVERAGE(B383:M383)))</f>
        <v/>
      </c>
      <c r="S383" s="28">
        <f>IF(R383="","",IF(R383&lt;=$G$6,"X",IF(R383&lt;=$I$6,"Y","Z")))</f>
        <v/>
      </c>
    </row>
    <row r="384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6">
        <f>IF(COUNT(B384:M384)=0,"",SUM(B384:M384))</f>
        <v/>
      </c>
      <c r="O384" s="27">
        <f>IF(N384="","",IF(N384&lt;=0,"",N384/SUMIF($N$8:$N$507,"&gt;0")))</f>
        <v/>
      </c>
      <c r="P384" s="27">
        <f>IF(O384="","",SUMIF($N$8:$N$507,"&gt;="&amp;N384)/SUMIF($N$8:$N$507,"&gt;0"))</f>
        <v/>
      </c>
      <c r="Q384" s="28">
        <f>IF(O384="","",IF(SUMIF($N$8:$N$507,"&gt;"&amp;N384)/SUMIF($N$8:$N$507,"&gt;0")&lt;$B$6,"A",IF(SUMIF($N$8:$N$507,"&gt;"&amp;N384)/SUMIF($N$8:$N$507,"&gt;0")&lt;$D$6,"B","C")))</f>
        <v/>
      </c>
      <c r="R384" s="29">
        <f>IF(O384="","",IF(COUNT(B384:M384)&lt;3,"",STDEVP(B384:M384)/AVERAGE(B384:M384)))</f>
        <v/>
      </c>
      <c r="S384" s="28">
        <f>IF(R384="","",IF(R384&lt;=$G$6,"X",IF(R384&lt;=$I$6,"Y","Z")))</f>
        <v/>
      </c>
    </row>
    <row r="385">
      <c r="A385" s="24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6">
        <f>IF(COUNT(B385:M385)=0,"",SUM(B385:M385))</f>
        <v/>
      </c>
      <c r="O385" s="27">
        <f>IF(N385="","",IF(N385&lt;=0,"",N385/SUMIF($N$8:$N$507,"&gt;0")))</f>
        <v/>
      </c>
      <c r="P385" s="27">
        <f>IF(O385="","",SUMIF($N$8:$N$507,"&gt;="&amp;N385)/SUMIF($N$8:$N$507,"&gt;0"))</f>
        <v/>
      </c>
      <c r="Q385" s="28">
        <f>IF(O385="","",IF(SUMIF($N$8:$N$507,"&gt;"&amp;N385)/SUMIF($N$8:$N$507,"&gt;0")&lt;$B$6,"A",IF(SUMIF($N$8:$N$507,"&gt;"&amp;N385)/SUMIF($N$8:$N$507,"&gt;0")&lt;$D$6,"B","C")))</f>
        <v/>
      </c>
      <c r="R385" s="29">
        <f>IF(O385="","",IF(COUNT(B385:M385)&lt;3,"",STDEVP(B385:M385)/AVERAGE(B385:M385)))</f>
        <v/>
      </c>
      <c r="S385" s="28">
        <f>IF(R385="","",IF(R385&lt;=$G$6,"X",IF(R385&lt;=$I$6,"Y","Z")))</f>
        <v/>
      </c>
    </row>
    <row r="386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6">
        <f>IF(COUNT(B386:M386)=0,"",SUM(B386:M386))</f>
        <v/>
      </c>
      <c r="O386" s="27">
        <f>IF(N386="","",IF(N386&lt;=0,"",N386/SUMIF($N$8:$N$507,"&gt;0")))</f>
        <v/>
      </c>
      <c r="P386" s="27">
        <f>IF(O386="","",SUMIF($N$8:$N$507,"&gt;="&amp;N386)/SUMIF($N$8:$N$507,"&gt;0"))</f>
        <v/>
      </c>
      <c r="Q386" s="28">
        <f>IF(O386="","",IF(SUMIF($N$8:$N$507,"&gt;"&amp;N386)/SUMIF($N$8:$N$507,"&gt;0")&lt;$B$6,"A",IF(SUMIF($N$8:$N$507,"&gt;"&amp;N386)/SUMIF($N$8:$N$507,"&gt;0")&lt;$D$6,"B","C")))</f>
        <v/>
      </c>
      <c r="R386" s="29">
        <f>IF(O386="","",IF(COUNT(B386:M386)&lt;3,"",STDEVP(B386:M386)/AVERAGE(B386:M386)))</f>
        <v/>
      </c>
      <c r="S386" s="28">
        <f>IF(R386="","",IF(R386&lt;=$G$6,"X",IF(R386&lt;=$I$6,"Y","Z")))</f>
        <v/>
      </c>
    </row>
    <row r="387">
      <c r="A387" s="24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6">
        <f>IF(COUNT(B387:M387)=0,"",SUM(B387:M387))</f>
        <v/>
      </c>
      <c r="O387" s="27">
        <f>IF(N387="","",IF(N387&lt;=0,"",N387/SUMIF($N$8:$N$507,"&gt;0")))</f>
        <v/>
      </c>
      <c r="P387" s="27">
        <f>IF(O387="","",SUMIF($N$8:$N$507,"&gt;="&amp;N387)/SUMIF($N$8:$N$507,"&gt;0"))</f>
        <v/>
      </c>
      <c r="Q387" s="28">
        <f>IF(O387="","",IF(SUMIF($N$8:$N$507,"&gt;"&amp;N387)/SUMIF($N$8:$N$507,"&gt;0")&lt;$B$6,"A",IF(SUMIF($N$8:$N$507,"&gt;"&amp;N387)/SUMIF($N$8:$N$507,"&gt;0")&lt;$D$6,"B","C")))</f>
        <v/>
      </c>
      <c r="R387" s="29">
        <f>IF(O387="","",IF(COUNT(B387:M387)&lt;3,"",STDEVP(B387:M387)/AVERAGE(B387:M387)))</f>
        <v/>
      </c>
      <c r="S387" s="28">
        <f>IF(R387="","",IF(R387&lt;=$G$6,"X",IF(R387&lt;=$I$6,"Y","Z")))</f>
        <v/>
      </c>
    </row>
    <row r="388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6">
        <f>IF(COUNT(B388:M388)=0,"",SUM(B388:M388))</f>
        <v/>
      </c>
      <c r="O388" s="27">
        <f>IF(N388="","",IF(N388&lt;=0,"",N388/SUMIF($N$8:$N$507,"&gt;0")))</f>
        <v/>
      </c>
      <c r="P388" s="27">
        <f>IF(O388="","",SUMIF($N$8:$N$507,"&gt;="&amp;N388)/SUMIF($N$8:$N$507,"&gt;0"))</f>
        <v/>
      </c>
      <c r="Q388" s="28">
        <f>IF(O388="","",IF(SUMIF($N$8:$N$507,"&gt;"&amp;N388)/SUMIF($N$8:$N$507,"&gt;0")&lt;$B$6,"A",IF(SUMIF($N$8:$N$507,"&gt;"&amp;N388)/SUMIF($N$8:$N$507,"&gt;0")&lt;$D$6,"B","C")))</f>
        <v/>
      </c>
      <c r="R388" s="29">
        <f>IF(O388="","",IF(COUNT(B388:M388)&lt;3,"",STDEVP(B388:M388)/AVERAGE(B388:M388)))</f>
        <v/>
      </c>
      <c r="S388" s="28">
        <f>IF(R388="","",IF(R388&lt;=$G$6,"X",IF(R388&lt;=$I$6,"Y","Z")))</f>
        <v/>
      </c>
    </row>
    <row r="389">
      <c r="A389" s="24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6">
        <f>IF(COUNT(B389:M389)=0,"",SUM(B389:M389))</f>
        <v/>
      </c>
      <c r="O389" s="27">
        <f>IF(N389="","",IF(N389&lt;=0,"",N389/SUMIF($N$8:$N$507,"&gt;0")))</f>
        <v/>
      </c>
      <c r="P389" s="27">
        <f>IF(O389="","",SUMIF($N$8:$N$507,"&gt;="&amp;N389)/SUMIF($N$8:$N$507,"&gt;0"))</f>
        <v/>
      </c>
      <c r="Q389" s="28">
        <f>IF(O389="","",IF(SUMIF($N$8:$N$507,"&gt;"&amp;N389)/SUMIF($N$8:$N$507,"&gt;0")&lt;$B$6,"A",IF(SUMIF($N$8:$N$507,"&gt;"&amp;N389)/SUMIF($N$8:$N$507,"&gt;0")&lt;$D$6,"B","C")))</f>
        <v/>
      </c>
      <c r="R389" s="29">
        <f>IF(O389="","",IF(COUNT(B389:M389)&lt;3,"",STDEVP(B389:M389)/AVERAGE(B389:M389)))</f>
        <v/>
      </c>
      <c r="S389" s="28">
        <f>IF(R389="","",IF(R389&lt;=$G$6,"X",IF(R389&lt;=$I$6,"Y","Z")))</f>
        <v/>
      </c>
    </row>
    <row r="390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6">
        <f>IF(COUNT(B390:M390)=0,"",SUM(B390:M390))</f>
        <v/>
      </c>
      <c r="O390" s="27">
        <f>IF(N390="","",IF(N390&lt;=0,"",N390/SUMIF($N$8:$N$507,"&gt;0")))</f>
        <v/>
      </c>
      <c r="P390" s="27">
        <f>IF(O390="","",SUMIF($N$8:$N$507,"&gt;="&amp;N390)/SUMIF($N$8:$N$507,"&gt;0"))</f>
        <v/>
      </c>
      <c r="Q390" s="28">
        <f>IF(O390="","",IF(SUMIF($N$8:$N$507,"&gt;"&amp;N390)/SUMIF($N$8:$N$507,"&gt;0")&lt;$B$6,"A",IF(SUMIF($N$8:$N$507,"&gt;"&amp;N390)/SUMIF($N$8:$N$507,"&gt;0")&lt;$D$6,"B","C")))</f>
        <v/>
      </c>
      <c r="R390" s="29">
        <f>IF(O390="","",IF(COUNT(B390:M390)&lt;3,"",STDEVP(B390:M390)/AVERAGE(B390:M390)))</f>
        <v/>
      </c>
      <c r="S390" s="28">
        <f>IF(R390="","",IF(R390&lt;=$G$6,"X",IF(R390&lt;=$I$6,"Y","Z")))</f>
        <v/>
      </c>
    </row>
    <row r="391">
      <c r="A391" s="24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6">
        <f>IF(COUNT(B391:M391)=0,"",SUM(B391:M391))</f>
        <v/>
      </c>
      <c r="O391" s="27">
        <f>IF(N391="","",IF(N391&lt;=0,"",N391/SUMIF($N$8:$N$507,"&gt;0")))</f>
        <v/>
      </c>
      <c r="P391" s="27">
        <f>IF(O391="","",SUMIF($N$8:$N$507,"&gt;="&amp;N391)/SUMIF($N$8:$N$507,"&gt;0"))</f>
        <v/>
      </c>
      <c r="Q391" s="28">
        <f>IF(O391="","",IF(SUMIF($N$8:$N$507,"&gt;"&amp;N391)/SUMIF($N$8:$N$507,"&gt;0")&lt;$B$6,"A",IF(SUMIF($N$8:$N$507,"&gt;"&amp;N391)/SUMIF($N$8:$N$507,"&gt;0")&lt;$D$6,"B","C")))</f>
        <v/>
      </c>
      <c r="R391" s="29">
        <f>IF(O391="","",IF(COUNT(B391:M391)&lt;3,"",STDEVP(B391:M391)/AVERAGE(B391:M391)))</f>
        <v/>
      </c>
      <c r="S391" s="28">
        <f>IF(R391="","",IF(R391&lt;=$G$6,"X",IF(R391&lt;=$I$6,"Y","Z")))</f>
        <v/>
      </c>
    </row>
    <row r="39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6">
        <f>IF(COUNT(B392:M392)=0,"",SUM(B392:M392))</f>
        <v/>
      </c>
      <c r="O392" s="27">
        <f>IF(N392="","",IF(N392&lt;=0,"",N392/SUMIF($N$8:$N$507,"&gt;0")))</f>
        <v/>
      </c>
      <c r="P392" s="27">
        <f>IF(O392="","",SUMIF($N$8:$N$507,"&gt;="&amp;N392)/SUMIF($N$8:$N$507,"&gt;0"))</f>
        <v/>
      </c>
      <c r="Q392" s="28">
        <f>IF(O392="","",IF(SUMIF($N$8:$N$507,"&gt;"&amp;N392)/SUMIF($N$8:$N$507,"&gt;0")&lt;$B$6,"A",IF(SUMIF($N$8:$N$507,"&gt;"&amp;N392)/SUMIF($N$8:$N$507,"&gt;0")&lt;$D$6,"B","C")))</f>
        <v/>
      </c>
      <c r="R392" s="29">
        <f>IF(O392="","",IF(COUNT(B392:M392)&lt;3,"",STDEVP(B392:M392)/AVERAGE(B392:M392)))</f>
        <v/>
      </c>
      <c r="S392" s="28">
        <f>IF(R392="","",IF(R392&lt;=$G$6,"X",IF(R392&lt;=$I$6,"Y","Z")))</f>
        <v/>
      </c>
    </row>
    <row r="393">
      <c r="A393" s="24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6">
        <f>IF(COUNT(B393:M393)=0,"",SUM(B393:M393))</f>
        <v/>
      </c>
      <c r="O393" s="27">
        <f>IF(N393="","",IF(N393&lt;=0,"",N393/SUMIF($N$8:$N$507,"&gt;0")))</f>
        <v/>
      </c>
      <c r="P393" s="27">
        <f>IF(O393="","",SUMIF($N$8:$N$507,"&gt;="&amp;N393)/SUMIF($N$8:$N$507,"&gt;0"))</f>
        <v/>
      </c>
      <c r="Q393" s="28">
        <f>IF(O393="","",IF(SUMIF($N$8:$N$507,"&gt;"&amp;N393)/SUMIF($N$8:$N$507,"&gt;0")&lt;$B$6,"A",IF(SUMIF($N$8:$N$507,"&gt;"&amp;N393)/SUMIF($N$8:$N$507,"&gt;0")&lt;$D$6,"B","C")))</f>
        <v/>
      </c>
      <c r="R393" s="29">
        <f>IF(O393="","",IF(COUNT(B393:M393)&lt;3,"",STDEVP(B393:M393)/AVERAGE(B393:M393)))</f>
        <v/>
      </c>
      <c r="S393" s="28">
        <f>IF(R393="","",IF(R393&lt;=$G$6,"X",IF(R393&lt;=$I$6,"Y","Z")))</f>
        <v/>
      </c>
    </row>
    <row r="394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6">
        <f>IF(COUNT(B394:M394)=0,"",SUM(B394:M394))</f>
        <v/>
      </c>
      <c r="O394" s="27">
        <f>IF(N394="","",IF(N394&lt;=0,"",N394/SUMIF($N$8:$N$507,"&gt;0")))</f>
        <v/>
      </c>
      <c r="P394" s="27">
        <f>IF(O394="","",SUMIF($N$8:$N$507,"&gt;="&amp;N394)/SUMIF($N$8:$N$507,"&gt;0"))</f>
        <v/>
      </c>
      <c r="Q394" s="28">
        <f>IF(O394="","",IF(SUMIF($N$8:$N$507,"&gt;"&amp;N394)/SUMIF($N$8:$N$507,"&gt;0")&lt;$B$6,"A",IF(SUMIF($N$8:$N$507,"&gt;"&amp;N394)/SUMIF($N$8:$N$507,"&gt;0")&lt;$D$6,"B","C")))</f>
        <v/>
      </c>
      <c r="R394" s="29">
        <f>IF(O394="","",IF(COUNT(B394:M394)&lt;3,"",STDEVP(B394:M394)/AVERAGE(B394:M394)))</f>
        <v/>
      </c>
      <c r="S394" s="28">
        <f>IF(R394="","",IF(R394&lt;=$G$6,"X",IF(R394&lt;=$I$6,"Y","Z")))</f>
        <v/>
      </c>
    </row>
    <row r="395">
      <c r="A395" s="24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6">
        <f>IF(COUNT(B395:M395)=0,"",SUM(B395:M395))</f>
        <v/>
      </c>
      <c r="O395" s="27">
        <f>IF(N395="","",IF(N395&lt;=0,"",N395/SUMIF($N$8:$N$507,"&gt;0")))</f>
        <v/>
      </c>
      <c r="P395" s="27">
        <f>IF(O395="","",SUMIF($N$8:$N$507,"&gt;="&amp;N395)/SUMIF($N$8:$N$507,"&gt;0"))</f>
        <v/>
      </c>
      <c r="Q395" s="28">
        <f>IF(O395="","",IF(SUMIF($N$8:$N$507,"&gt;"&amp;N395)/SUMIF($N$8:$N$507,"&gt;0")&lt;$B$6,"A",IF(SUMIF($N$8:$N$507,"&gt;"&amp;N395)/SUMIF($N$8:$N$507,"&gt;0")&lt;$D$6,"B","C")))</f>
        <v/>
      </c>
      <c r="R395" s="29">
        <f>IF(O395="","",IF(COUNT(B395:M395)&lt;3,"",STDEVP(B395:M395)/AVERAGE(B395:M395)))</f>
        <v/>
      </c>
      <c r="S395" s="28">
        <f>IF(R395="","",IF(R395&lt;=$G$6,"X",IF(R395&lt;=$I$6,"Y","Z")))</f>
        <v/>
      </c>
    </row>
    <row r="396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6">
        <f>IF(COUNT(B396:M396)=0,"",SUM(B396:M396))</f>
        <v/>
      </c>
      <c r="O396" s="27">
        <f>IF(N396="","",IF(N396&lt;=0,"",N396/SUMIF($N$8:$N$507,"&gt;0")))</f>
        <v/>
      </c>
      <c r="P396" s="27">
        <f>IF(O396="","",SUMIF($N$8:$N$507,"&gt;="&amp;N396)/SUMIF($N$8:$N$507,"&gt;0"))</f>
        <v/>
      </c>
      <c r="Q396" s="28">
        <f>IF(O396="","",IF(SUMIF($N$8:$N$507,"&gt;"&amp;N396)/SUMIF($N$8:$N$507,"&gt;0")&lt;$B$6,"A",IF(SUMIF($N$8:$N$507,"&gt;"&amp;N396)/SUMIF($N$8:$N$507,"&gt;0")&lt;$D$6,"B","C")))</f>
        <v/>
      </c>
      <c r="R396" s="29">
        <f>IF(O396="","",IF(COUNT(B396:M396)&lt;3,"",STDEVP(B396:M396)/AVERAGE(B396:M396)))</f>
        <v/>
      </c>
      <c r="S396" s="28">
        <f>IF(R396="","",IF(R396&lt;=$G$6,"X",IF(R396&lt;=$I$6,"Y","Z")))</f>
        <v/>
      </c>
    </row>
    <row r="397">
      <c r="A397" s="24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6">
        <f>IF(COUNT(B397:M397)=0,"",SUM(B397:M397))</f>
        <v/>
      </c>
      <c r="O397" s="27">
        <f>IF(N397="","",IF(N397&lt;=0,"",N397/SUMIF($N$8:$N$507,"&gt;0")))</f>
        <v/>
      </c>
      <c r="P397" s="27">
        <f>IF(O397="","",SUMIF($N$8:$N$507,"&gt;="&amp;N397)/SUMIF($N$8:$N$507,"&gt;0"))</f>
        <v/>
      </c>
      <c r="Q397" s="28">
        <f>IF(O397="","",IF(SUMIF($N$8:$N$507,"&gt;"&amp;N397)/SUMIF($N$8:$N$507,"&gt;0")&lt;$B$6,"A",IF(SUMIF($N$8:$N$507,"&gt;"&amp;N397)/SUMIF($N$8:$N$507,"&gt;0")&lt;$D$6,"B","C")))</f>
        <v/>
      </c>
      <c r="R397" s="29">
        <f>IF(O397="","",IF(COUNT(B397:M397)&lt;3,"",STDEVP(B397:M397)/AVERAGE(B397:M397)))</f>
        <v/>
      </c>
      <c r="S397" s="28">
        <f>IF(R397="","",IF(R397&lt;=$G$6,"X",IF(R397&lt;=$I$6,"Y","Z")))</f>
        <v/>
      </c>
    </row>
    <row r="398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6">
        <f>IF(COUNT(B398:M398)=0,"",SUM(B398:M398))</f>
        <v/>
      </c>
      <c r="O398" s="27">
        <f>IF(N398="","",IF(N398&lt;=0,"",N398/SUMIF($N$8:$N$507,"&gt;0")))</f>
        <v/>
      </c>
      <c r="P398" s="27">
        <f>IF(O398="","",SUMIF($N$8:$N$507,"&gt;="&amp;N398)/SUMIF($N$8:$N$507,"&gt;0"))</f>
        <v/>
      </c>
      <c r="Q398" s="28">
        <f>IF(O398="","",IF(SUMIF($N$8:$N$507,"&gt;"&amp;N398)/SUMIF($N$8:$N$507,"&gt;0")&lt;$B$6,"A",IF(SUMIF($N$8:$N$507,"&gt;"&amp;N398)/SUMIF($N$8:$N$507,"&gt;0")&lt;$D$6,"B","C")))</f>
        <v/>
      </c>
      <c r="R398" s="29">
        <f>IF(O398="","",IF(COUNT(B398:M398)&lt;3,"",STDEVP(B398:M398)/AVERAGE(B398:M398)))</f>
        <v/>
      </c>
      <c r="S398" s="28">
        <f>IF(R398="","",IF(R398&lt;=$G$6,"X",IF(R398&lt;=$I$6,"Y","Z")))</f>
        <v/>
      </c>
    </row>
    <row r="399">
      <c r="A399" s="24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6">
        <f>IF(COUNT(B399:M399)=0,"",SUM(B399:M399))</f>
        <v/>
      </c>
      <c r="O399" s="27">
        <f>IF(N399="","",IF(N399&lt;=0,"",N399/SUMIF($N$8:$N$507,"&gt;0")))</f>
        <v/>
      </c>
      <c r="P399" s="27">
        <f>IF(O399="","",SUMIF($N$8:$N$507,"&gt;="&amp;N399)/SUMIF($N$8:$N$507,"&gt;0"))</f>
        <v/>
      </c>
      <c r="Q399" s="28">
        <f>IF(O399="","",IF(SUMIF($N$8:$N$507,"&gt;"&amp;N399)/SUMIF($N$8:$N$507,"&gt;0")&lt;$B$6,"A",IF(SUMIF($N$8:$N$507,"&gt;"&amp;N399)/SUMIF($N$8:$N$507,"&gt;0")&lt;$D$6,"B","C")))</f>
        <v/>
      </c>
      <c r="R399" s="29">
        <f>IF(O399="","",IF(COUNT(B399:M399)&lt;3,"",STDEVP(B399:M399)/AVERAGE(B399:M399)))</f>
        <v/>
      </c>
      <c r="S399" s="28">
        <f>IF(R399="","",IF(R399&lt;=$G$6,"X",IF(R399&lt;=$I$6,"Y","Z")))</f>
        <v/>
      </c>
    </row>
    <row r="400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6">
        <f>IF(COUNT(B400:M400)=0,"",SUM(B400:M400))</f>
        <v/>
      </c>
      <c r="O400" s="27">
        <f>IF(N400="","",IF(N400&lt;=0,"",N400/SUMIF($N$8:$N$507,"&gt;0")))</f>
        <v/>
      </c>
      <c r="P400" s="27">
        <f>IF(O400="","",SUMIF($N$8:$N$507,"&gt;="&amp;N400)/SUMIF($N$8:$N$507,"&gt;0"))</f>
        <v/>
      </c>
      <c r="Q400" s="28">
        <f>IF(O400="","",IF(SUMIF($N$8:$N$507,"&gt;"&amp;N400)/SUMIF($N$8:$N$507,"&gt;0")&lt;$B$6,"A",IF(SUMIF($N$8:$N$507,"&gt;"&amp;N400)/SUMIF($N$8:$N$507,"&gt;0")&lt;$D$6,"B","C")))</f>
        <v/>
      </c>
      <c r="R400" s="29">
        <f>IF(O400="","",IF(COUNT(B400:M400)&lt;3,"",STDEVP(B400:M400)/AVERAGE(B400:M400)))</f>
        <v/>
      </c>
      <c r="S400" s="28">
        <f>IF(R400="","",IF(R400&lt;=$G$6,"X",IF(R400&lt;=$I$6,"Y","Z")))</f>
        <v/>
      </c>
    </row>
    <row r="401">
      <c r="A401" s="24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6">
        <f>IF(COUNT(B401:M401)=0,"",SUM(B401:M401))</f>
        <v/>
      </c>
      <c r="O401" s="27">
        <f>IF(N401="","",IF(N401&lt;=0,"",N401/SUMIF($N$8:$N$507,"&gt;0")))</f>
        <v/>
      </c>
      <c r="P401" s="27">
        <f>IF(O401="","",SUMIF($N$8:$N$507,"&gt;="&amp;N401)/SUMIF($N$8:$N$507,"&gt;0"))</f>
        <v/>
      </c>
      <c r="Q401" s="28">
        <f>IF(O401="","",IF(SUMIF($N$8:$N$507,"&gt;"&amp;N401)/SUMIF($N$8:$N$507,"&gt;0")&lt;$B$6,"A",IF(SUMIF($N$8:$N$507,"&gt;"&amp;N401)/SUMIF($N$8:$N$507,"&gt;0")&lt;$D$6,"B","C")))</f>
        <v/>
      </c>
      <c r="R401" s="29">
        <f>IF(O401="","",IF(COUNT(B401:M401)&lt;3,"",STDEVP(B401:M401)/AVERAGE(B401:M401)))</f>
        <v/>
      </c>
      <c r="S401" s="28">
        <f>IF(R401="","",IF(R401&lt;=$G$6,"X",IF(R401&lt;=$I$6,"Y","Z")))</f>
        <v/>
      </c>
    </row>
    <row r="40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6">
        <f>IF(COUNT(B402:M402)=0,"",SUM(B402:M402))</f>
        <v/>
      </c>
      <c r="O402" s="27">
        <f>IF(N402="","",IF(N402&lt;=0,"",N402/SUMIF($N$8:$N$507,"&gt;0")))</f>
        <v/>
      </c>
      <c r="P402" s="27">
        <f>IF(O402="","",SUMIF($N$8:$N$507,"&gt;="&amp;N402)/SUMIF($N$8:$N$507,"&gt;0"))</f>
        <v/>
      </c>
      <c r="Q402" s="28">
        <f>IF(O402="","",IF(SUMIF($N$8:$N$507,"&gt;"&amp;N402)/SUMIF($N$8:$N$507,"&gt;0")&lt;$B$6,"A",IF(SUMIF($N$8:$N$507,"&gt;"&amp;N402)/SUMIF($N$8:$N$507,"&gt;0")&lt;$D$6,"B","C")))</f>
        <v/>
      </c>
      <c r="R402" s="29">
        <f>IF(O402="","",IF(COUNT(B402:M402)&lt;3,"",STDEVP(B402:M402)/AVERAGE(B402:M402)))</f>
        <v/>
      </c>
      <c r="S402" s="28">
        <f>IF(R402="","",IF(R402&lt;=$G$6,"X",IF(R402&lt;=$I$6,"Y","Z")))</f>
        <v/>
      </c>
    </row>
    <row r="403">
      <c r="A403" s="24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6">
        <f>IF(COUNT(B403:M403)=0,"",SUM(B403:M403))</f>
        <v/>
      </c>
      <c r="O403" s="27">
        <f>IF(N403="","",IF(N403&lt;=0,"",N403/SUMIF($N$8:$N$507,"&gt;0")))</f>
        <v/>
      </c>
      <c r="P403" s="27">
        <f>IF(O403="","",SUMIF($N$8:$N$507,"&gt;="&amp;N403)/SUMIF($N$8:$N$507,"&gt;0"))</f>
        <v/>
      </c>
      <c r="Q403" s="28">
        <f>IF(O403="","",IF(SUMIF($N$8:$N$507,"&gt;"&amp;N403)/SUMIF($N$8:$N$507,"&gt;0")&lt;$B$6,"A",IF(SUMIF($N$8:$N$507,"&gt;"&amp;N403)/SUMIF($N$8:$N$507,"&gt;0")&lt;$D$6,"B","C")))</f>
        <v/>
      </c>
      <c r="R403" s="29">
        <f>IF(O403="","",IF(COUNT(B403:M403)&lt;3,"",STDEVP(B403:M403)/AVERAGE(B403:M403)))</f>
        <v/>
      </c>
      <c r="S403" s="28">
        <f>IF(R403="","",IF(R403&lt;=$G$6,"X",IF(R403&lt;=$I$6,"Y","Z")))</f>
        <v/>
      </c>
    </row>
    <row r="404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6">
        <f>IF(COUNT(B404:M404)=0,"",SUM(B404:M404))</f>
        <v/>
      </c>
      <c r="O404" s="27">
        <f>IF(N404="","",IF(N404&lt;=0,"",N404/SUMIF($N$8:$N$507,"&gt;0")))</f>
        <v/>
      </c>
      <c r="P404" s="27">
        <f>IF(O404="","",SUMIF($N$8:$N$507,"&gt;="&amp;N404)/SUMIF($N$8:$N$507,"&gt;0"))</f>
        <v/>
      </c>
      <c r="Q404" s="28">
        <f>IF(O404="","",IF(SUMIF($N$8:$N$507,"&gt;"&amp;N404)/SUMIF($N$8:$N$507,"&gt;0")&lt;$B$6,"A",IF(SUMIF($N$8:$N$507,"&gt;"&amp;N404)/SUMIF($N$8:$N$507,"&gt;0")&lt;$D$6,"B","C")))</f>
        <v/>
      </c>
      <c r="R404" s="29">
        <f>IF(O404="","",IF(COUNT(B404:M404)&lt;3,"",STDEVP(B404:M404)/AVERAGE(B404:M404)))</f>
        <v/>
      </c>
      <c r="S404" s="28">
        <f>IF(R404="","",IF(R404&lt;=$G$6,"X",IF(R404&lt;=$I$6,"Y","Z")))</f>
        <v/>
      </c>
    </row>
    <row r="405">
      <c r="A405" s="24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6">
        <f>IF(COUNT(B405:M405)=0,"",SUM(B405:M405))</f>
        <v/>
      </c>
      <c r="O405" s="27">
        <f>IF(N405="","",IF(N405&lt;=0,"",N405/SUMIF($N$8:$N$507,"&gt;0")))</f>
        <v/>
      </c>
      <c r="P405" s="27">
        <f>IF(O405="","",SUMIF($N$8:$N$507,"&gt;="&amp;N405)/SUMIF($N$8:$N$507,"&gt;0"))</f>
        <v/>
      </c>
      <c r="Q405" s="28">
        <f>IF(O405="","",IF(SUMIF($N$8:$N$507,"&gt;"&amp;N405)/SUMIF($N$8:$N$507,"&gt;0")&lt;$B$6,"A",IF(SUMIF($N$8:$N$507,"&gt;"&amp;N405)/SUMIF($N$8:$N$507,"&gt;0")&lt;$D$6,"B","C")))</f>
        <v/>
      </c>
      <c r="R405" s="29">
        <f>IF(O405="","",IF(COUNT(B405:M405)&lt;3,"",STDEVP(B405:M405)/AVERAGE(B405:M405)))</f>
        <v/>
      </c>
      <c r="S405" s="28">
        <f>IF(R405="","",IF(R405&lt;=$G$6,"X",IF(R405&lt;=$I$6,"Y","Z")))</f>
        <v/>
      </c>
    </row>
    <row r="406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6">
        <f>IF(COUNT(B406:M406)=0,"",SUM(B406:M406))</f>
        <v/>
      </c>
      <c r="O406" s="27">
        <f>IF(N406="","",IF(N406&lt;=0,"",N406/SUMIF($N$8:$N$507,"&gt;0")))</f>
        <v/>
      </c>
      <c r="P406" s="27">
        <f>IF(O406="","",SUMIF($N$8:$N$507,"&gt;="&amp;N406)/SUMIF($N$8:$N$507,"&gt;0"))</f>
        <v/>
      </c>
      <c r="Q406" s="28">
        <f>IF(O406="","",IF(SUMIF($N$8:$N$507,"&gt;"&amp;N406)/SUMIF($N$8:$N$507,"&gt;0")&lt;$B$6,"A",IF(SUMIF($N$8:$N$507,"&gt;"&amp;N406)/SUMIF($N$8:$N$507,"&gt;0")&lt;$D$6,"B","C")))</f>
        <v/>
      </c>
      <c r="R406" s="29">
        <f>IF(O406="","",IF(COUNT(B406:M406)&lt;3,"",STDEVP(B406:M406)/AVERAGE(B406:M406)))</f>
        <v/>
      </c>
      <c r="S406" s="28">
        <f>IF(R406="","",IF(R406&lt;=$G$6,"X",IF(R406&lt;=$I$6,"Y","Z")))</f>
        <v/>
      </c>
    </row>
    <row r="407">
      <c r="A407" s="24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6">
        <f>IF(COUNT(B407:M407)=0,"",SUM(B407:M407))</f>
        <v/>
      </c>
      <c r="O407" s="27">
        <f>IF(N407="","",IF(N407&lt;=0,"",N407/SUMIF($N$8:$N$507,"&gt;0")))</f>
        <v/>
      </c>
      <c r="P407" s="27">
        <f>IF(O407="","",SUMIF($N$8:$N$507,"&gt;="&amp;N407)/SUMIF($N$8:$N$507,"&gt;0"))</f>
        <v/>
      </c>
      <c r="Q407" s="28">
        <f>IF(O407="","",IF(SUMIF($N$8:$N$507,"&gt;"&amp;N407)/SUMIF($N$8:$N$507,"&gt;0")&lt;$B$6,"A",IF(SUMIF($N$8:$N$507,"&gt;"&amp;N407)/SUMIF($N$8:$N$507,"&gt;0")&lt;$D$6,"B","C")))</f>
        <v/>
      </c>
      <c r="R407" s="29">
        <f>IF(O407="","",IF(COUNT(B407:M407)&lt;3,"",STDEVP(B407:M407)/AVERAGE(B407:M407)))</f>
        <v/>
      </c>
      <c r="S407" s="28">
        <f>IF(R407="","",IF(R407&lt;=$G$6,"X",IF(R407&lt;=$I$6,"Y","Z")))</f>
        <v/>
      </c>
    </row>
    <row r="408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6">
        <f>IF(COUNT(B408:M408)=0,"",SUM(B408:M408))</f>
        <v/>
      </c>
      <c r="O408" s="27">
        <f>IF(N408="","",IF(N408&lt;=0,"",N408/SUMIF($N$8:$N$507,"&gt;0")))</f>
        <v/>
      </c>
      <c r="P408" s="27">
        <f>IF(O408="","",SUMIF($N$8:$N$507,"&gt;="&amp;N408)/SUMIF($N$8:$N$507,"&gt;0"))</f>
        <v/>
      </c>
      <c r="Q408" s="28">
        <f>IF(O408="","",IF(SUMIF($N$8:$N$507,"&gt;"&amp;N408)/SUMIF($N$8:$N$507,"&gt;0")&lt;$B$6,"A",IF(SUMIF($N$8:$N$507,"&gt;"&amp;N408)/SUMIF($N$8:$N$507,"&gt;0")&lt;$D$6,"B","C")))</f>
        <v/>
      </c>
      <c r="R408" s="29">
        <f>IF(O408="","",IF(COUNT(B408:M408)&lt;3,"",STDEVP(B408:M408)/AVERAGE(B408:M408)))</f>
        <v/>
      </c>
      <c r="S408" s="28">
        <f>IF(R408="","",IF(R408&lt;=$G$6,"X",IF(R408&lt;=$I$6,"Y","Z")))</f>
        <v/>
      </c>
    </row>
    <row r="409">
      <c r="A409" s="24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6">
        <f>IF(COUNT(B409:M409)=0,"",SUM(B409:M409))</f>
        <v/>
      </c>
      <c r="O409" s="27">
        <f>IF(N409="","",IF(N409&lt;=0,"",N409/SUMIF($N$8:$N$507,"&gt;0")))</f>
        <v/>
      </c>
      <c r="P409" s="27">
        <f>IF(O409="","",SUMIF($N$8:$N$507,"&gt;="&amp;N409)/SUMIF($N$8:$N$507,"&gt;0"))</f>
        <v/>
      </c>
      <c r="Q409" s="28">
        <f>IF(O409="","",IF(SUMIF($N$8:$N$507,"&gt;"&amp;N409)/SUMIF($N$8:$N$507,"&gt;0")&lt;$B$6,"A",IF(SUMIF($N$8:$N$507,"&gt;"&amp;N409)/SUMIF($N$8:$N$507,"&gt;0")&lt;$D$6,"B","C")))</f>
        <v/>
      </c>
      <c r="R409" s="29">
        <f>IF(O409="","",IF(COUNT(B409:M409)&lt;3,"",STDEVP(B409:M409)/AVERAGE(B409:M409)))</f>
        <v/>
      </c>
      <c r="S409" s="28">
        <f>IF(R409="","",IF(R409&lt;=$G$6,"X",IF(R409&lt;=$I$6,"Y","Z")))</f>
        <v/>
      </c>
    </row>
    <row r="410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6">
        <f>IF(COUNT(B410:M410)=0,"",SUM(B410:M410))</f>
        <v/>
      </c>
      <c r="O410" s="27">
        <f>IF(N410="","",IF(N410&lt;=0,"",N410/SUMIF($N$8:$N$507,"&gt;0")))</f>
        <v/>
      </c>
      <c r="P410" s="27">
        <f>IF(O410="","",SUMIF($N$8:$N$507,"&gt;="&amp;N410)/SUMIF($N$8:$N$507,"&gt;0"))</f>
        <v/>
      </c>
      <c r="Q410" s="28">
        <f>IF(O410="","",IF(SUMIF($N$8:$N$507,"&gt;"&amp;N410)/SUMIF($N$8:$N$507,"&gt;0")&lt;$B$6,"A",IF(SUMIF($N$8:$N$507,"&gt;"&amp;N410)/SUMIF($N$8:$N$507,"&gt;0")&lt;$D$6,"B","C")))</f>
        <v/>
      </c>
      <c r="R410" s="29">
        <f>IF(O410="","",IF(COUNT(B410:M410)&lt;3,"",STDEVP(B410:M410)/AVERAGE(B410:M410)))</f>
        <v/>
      </c>
      <c r="S410" s="28">
        <f>IF(R410="","",IF(R410&lt;=$G$6,"X",IF(R410&lt;=$I$6,"Y","Z")))</f>
        <v/>
      </c>
    </row>
    <row r="411">
      <c r="A411" s="24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6">
        <f>IF(COUNT(B411:M411)=0,"",SUM(B411:M411))</f>
        <v/>
      </c>
      <c r="O411" s="27">
        <f>IF(N411="","",IF(N411&lt;=0,"",N411/SUMIF($N$8:$N$507,"&gt;0")))</f>
        <v/>
      </c>
      <c r="P411" s="27">
        <f>IF(O411="","",SUMIF($N$8:$N$507,"&gt;="&amp;N411)/SUMIF($N$8:$N$507,"&gt;0"))</f>
        <v/>
      </c>
      <c r="Q411" s="28">
        <f>IF(O411="","",IF(SUMIF($N$8:$N$507,"&gt;"&amp;N411)/SUMIF($N$8:$N$507,"&gt;0")&lt;$B$6,"A",IF(SUMIF($N$8:$N$507,"&gt;"&amp;N411)/SUMIF($N$8:$N$507,"&gt;0")&lt;$D$6,"B","C")))</f>
        <v/>
      </c>
      <c r="R411" s="29">
        <f>IF(O411="","",IF(COUNT(B411:M411)&lt;3,"",STDEVP(B411:M411)/AVERAGE(B411:M411)))</f>
        <v/>
      </c>
      <c r="S411" s="28">
        <f>IF(R411="","",IF(R411&lt;=$G$6,"X",IF(R411&lt;=$I$6,"Y","Z")))</f>
        <v/>
      </c>
    </row>
    <row r="41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6">
        <f>IF(COUNT(B412:M412)=0,"",SUM(B412:M412))</f>
        <v/>
      </c>
      <c r="O412" s="27">
        <f>IF(N412="","",IF(N412&lt;=0,"",N412/SUMIF($N$8:$N$507,"&gt;0")))</f>
        <v/>
      </c>
      <c r="P412" s="27">
        <f>IF(O412="","",SUMIF($N$8:$N$507,"&gt;="&amp;N412)/SUMIF($N$8:$N$507,"&gt;0"))</f>
        <v/>
      </c>
      <c r="Q412" s="28">
        <f>IF(O412="","",IF(SUMIF($N$8:$N$507,"&gt;"&amp;N412)/SUMIF($N$8:$N$507,"&gt;0")&lt;$B$6,"A",IF(SUMIF($N$8:$N$507,"&gt;"&amp;N412)/SUMIF($N$8:$N$507,"&gt;0")&lt;$D$6,"B","C")))</f>
        <v/>
      </c>
      <c r="R412" s="29">
        <f>IF(O412="","",IF(COUNT(B412:M412)&lt;3,"",STDEVP(B412:M412)/AVERAGE(B412:M412)))</f>
        <v/>
      </c>
      <c r="S412" s="28">
        <f>IF(R412="","",IF(R412&lt;=$G$6,"X",IF(R412&lt;=$I$6,"Y","Z")))</f>
        <v/>
      </c>
    </row>
    <row r="413">
      <c r="A413" s="24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6">
        <f>IF(COUNT(B413:M413)=0,"",SUM(B413:M413))</f>
        <v/>
      </c>
      <c r="O413" s="27">
        <f>IF(N413="","",IF(N413&lt;=0,"",N413/SUMIF($N$8:$N$507,"&gt;0")))</f>
        <v/>
      </c>
      <c r="P413" s="27">
        <f>IF(O413="","",SUMIF($N$8:$N$507,"&gt;="&amp;N413)/SUMIF($N$8:$N$507,"&gt;0"))</f>
        <v/>
      </c>
      <c r="Q413" s="28">
        <f>IF(O413="","",IF(SUMIF($N$8:$N$507,"&gt;"&amp;N413)/SUMIF($N$8:$N$507,"&gt;0")&lt;$B$6,"A",IF(SUMIF($N$8:$N$507,"&gt;"&amp;N413)/SUMIF($N$8:$N$507,"&gt;0")&lt;$D$6,"B","C")))</f>
        <v/>
      </c>
      <c r="R413" s="29">
        <f>IF(O413="","",IF(COUNT(B413:M413)&lt;3,"",STDEVP(B413:M413)/AVERAGE(B413:M413)))</f>
        <v/>
      </c>
      <c r="S413" s="28">
        <f>IF(R413="","",IF(R413&lt;=$G$6,"X",IF(R413&lt;=$I$6,"Y","Z")))</f>
        <v/>
      </c>
    </row>
    <row r="414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6">
        <f>IF(COUNT(B414:M414)=0,"",SUM(B414:M414))</f>
        <v/>
      </c>
      <c r="O414" s="27">
        <f>IF(N414="","",IF(N414&lt;=0,"",N414/SUMIF($N$8:$N$507,"&gt;0")))</f>
        <v/>
      </c>
      <c r="P414" s="27">
        <f>IF(O414="","",SUMIF($N$8:$N$507,"&gt;="&amp;N414)/SUMIF($N$8:$N$507,"&gt;0"))</f>
        <v/>
      </c>
      <c r="Q414" s="28">
        <f>IF(O414="","",IF(SUMIF($N$8:$N$507,"&gt;"&amp;N414)/SUMIF($N$8:$N$507,"&gt;0")&lt;$B$6,"A",IF(SUMIF($N$8:$N$507,"&gt;"&amp;N414)/SUMIF($N$8:$N$507,"&gt;0")&lt;$D$6,"B","C")))</f>
        <v/>
      </c>
      <c r="R414" s="29">
        <f>IF(O414="","",IF(COUNT(B414:M414)&lt;3,"",STDEVP(B414:M414)/AVERAGE(B414:M414)))</f>
        <v/>
      </c>
      <c r="S414" s="28">
        <f>IF(R414="","",IF(R414&lt;=$G$6,"X",IF(R414&lt;=$I$6,"Y","Z")))</f>
        <v/>
      </c>
    </row>
    <row r="415">
      <c r="A415" s="24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6">
        <f>IF(COUNT(B415:M415)=0,"",SUM(B415:M415))</f>
        <v/>
      </c>
      <c r="O415" s="27">
        <f>IF(N415="","",IF(N415&lt;=0,"",N415/SUMIF($N$8:$N$507,"&gt;0")))</f>
        <v/>
      </c>
      <c r="P415" s="27">
        <f>IF(O415="","",SUMIF($N$8:$N$507,"&gt;="&amp;N415)/SUMIF($N$8:$N$507,"&gt;0"))</f>
        <v/>
      </c>
      <c r="Q415" s="28">
        <f>IF(O415="","",IF(SUMIF($N$8:$N$507,"&gt;"&amp;N415)/SUMIF($N$8:$N$507,"&gt;0")&lt;$B$6,"A",IF(SUMIF($N$8:$N$507,"&gt;"&amp;N415)/SUMIF($N$8:$N$507,"&gt;0")&lt;$D$6,"B","C")))</f>
        <v/>
      </c>
      <c r="R415" s="29">
        <f>IF(O415="","",IF(COUNT(B415:M415)&lt;3,"",STDEVP(B415:M415)/AVERAGE(B415:M415)))</f>
        <v/>
      </c>
      <c r="S415" s="28">
        <f>IF(R415="","",IF(R415&lt;=$G$6,"X",IF(R415&lt;=$I$6,"Y","Z")))</f>
        <v/>
      </c>
    </row>
    <row r="416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6">
        <f>IF(COUNT(B416:M416)=0,"",SUM(B416:M416))</f>
        <v/>
      </c>
      <c r="O416" s="27">
        <f>IF(N416="","",IF(N416&lt;=0,"",N416/SUMIF($N$8:$N$507,"&gt;0")))</f>
        <v/>
      </c>
      <c r="P416" s="27">
        <f>IF(O416="","",SUMIF($N$8:$N$507,"&gt;="&amp;N416)/SUMIF($N$8:$N$507,"&gt;0"))</f>
        <v/>
      </c>
      <c r="Q416" s="28">
        <f>IF(O416="","",IF(SUMIF($N$8:$N$507,"&gt;"&amp;N416)/SUMIF($N$8:$N$507,"&gt;0")&lt;$B$6,"A",IF(SUMIF($N$8:$N$507,"&gt;"&amp;N416)/SUMIF($N$8:$N$507,"&gt;0")&lt;$D$6,"B","C")))</f>
        <v/>
      </c>
      <c r="R416" s="29">
        <f>IF(O416="","",IF(COUNT(B416:M416)&lt;3,"",STDEVP(B416:M416)/AVERAGE(B416:M416)))</f>
        <v/>
      </c>
      <c r="S416" s="28">
        <f>IF(R416="","",IF(R416&lt;=$G$6,"X",IF(R416&lt;=$I$6,"Y","Z")))</f>
        <v/>
      </c>
    </row>
    <row r="417">
      <c r="A417" s="24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6">
        <f>IF(COUNT(B417:M417)=0,"",SUM(B417:M417))</f>
        <v/>
      </c>
      <c r="O417" s="27">
        <f>IF(N417="","",IF(N417&lt;=0,"",N417/SUMIF($N$8:$N$507,"&gt;0")))</f>
        <v/>
      </c>
      <c r="P417" s="27">
        <f>IF(O417="","",SUMIF($N$8:$N$507,"&gt;="&amp;N417)/SUMIF($N$8:$N$507,"&gt;0"))</f>
        <v/>
      </c>
      <c r="Q417" s="28">
        <f>IF(O417="","",IF(SUMIF($N$8:$N$507,"&gt;"&amp;N417)/SUMIF($N$8:$N$507,"&gt;0")&lt;$B$6,"A",IF(SUMIF($N$8:$N$507,"&gt;"&amp;N417)/SUMIF($N$8:$N$507,"&gt;0")&lt;$D$6,"B","C")))</f>
        <v/>
      </c>
      <c r="R417" s="29">
        <f>IF(O417="","",IF(COUNT(B417:M417)&lt;3,"",STDEVP(B417:M417)/AVERAGE(B417:M417)))</f>
        <v/>
      </c>
      <c r="S417" s="28">
        <f>IF(R417="","",IF(R417&lt;=$G$6,"X",IF(R417&lt;=$I$6,"Y","Z")))</f>
        <v/>
      </c>
    </row>
    <row r="418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6">
        <f>IF(COUNT(B418:M418)=0,"",SUM(B418:M418))</f>
        <v/>
      </c>
      <c r="O418" s="27">
        <f>IF(N418="","",IF(N418&lt;=0,"",N418/SUMIF($N$8:$N$507,"&gt;0")))</f>
        <v/>
      </c>
      <c r="P418" s="27">
        <f>IF(O418="","",SUMIF($N$8:$N$507,"&gt;="&amp;N418)/SUMIF($N$8:$N$507,"&gt;0"))</f>
        <v/>
      </c>
      <c r="Q418" s="28">
        <f>IF(O418="","",IF(SUMIF($N$8:$N$507,"&gt;"&amp;N418)/SUMIF($N$8:$N$507,"&gt;0")&lt;$B$6,"A",IF(SUMIF($N$8:$N$507,"&gt;"&amp;N418)/SUMIF($N$8:$N$507,"&gt;0")&lt;$D$6,"B","C")))</f>
        <v/>
      </c>
      <c r="R418" s="29">
        <f>IF(O418="","",IF(COUNT(B418:M418)&lt;3,"",STDEVP(B418:M418)/AVERAGE(B418:M418)))</f>
        <v/>
      </c>
      <c r="S418" s="28">
        <f>IF(R418="","",IF(R418&lt;=$G$6,"X",IF(R418&lt;=$I$6,"Y","Z")))</f>
        <v/>
      </c>
    </row>
    <row r="419">
      <c r="A419" s="24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6">
        <f>IF(COUNT(B419:M419)=0,"",SUM(B419:M419))</f>
        <v/>
      </c>
      <c r="O419" s="27">
        <f>IF(N419="","",IF(N419&lt;=0,"",N419/SUMIF($N$8:$N$507,"&gt;0")))</f>
        <v/>
      </c>
      <c r="P419" s="27">
        <f>IF(O419="","",SUMIF($N$8:$N$507,"&gt;="&amp;N419)/SUMIF($N$8:$N$507,"&gt;0"))</f>
        <v/>
      </c>
      <c r="Q419" s="28">
        <f>IF(O419="","",IF(SUMIF($N$8:$N$507,"&gt;"&amp;N419)/SUMIF($N$8:$N$507,"&gt;0")&lt;$B$6,"A",IF(SUMIF($N$8:$N$507,"&gt;"&amp;N419)/SUMIF($N$8:$N$507,"&gt;0")&lt;$D$6,"B","C")))</f>
        <v/>
      </c>
      <c r="R419" s="29">
        <f>IF(O419="","",IF(COUNT(B419:M419)&lt;3,"",STDEVP(B419:M419)/AVERAGE(B419:M419)))</f>
        <v/>
      </c>
      <c r="S419" s="28">
        <f>IF(R419="","",IF(R419&lt;=$G$6,"X",IF(R419&lt;=$I$6,"Y","Z")))</f>
        <v/>
      </c>
    </row>
    <row r="420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6">
        <f>IF(COUNT(B420:M420)=0,"",SUM(B420:M420))</f>
        <v/>
      </c>
      <c r="O420" s="27">
        <f>IF(N420="","",IF(N420&lt;=0,"",N420/SUMIF($N$8:$N$507,"&gt;0")))</f>
        <v/>
      </c>
      <c r="P420" s="27">
        <f>IF(O420="","",SUMIF($N$8:$N$507,"&gt;="&amp;N420)/SUMIF($N$8:$N$507,"&gt;0"))</f>
        <v/>
      </c>
      <c r="Q420" s="28">
        <f>IF(O420="","",IF(SUMIF($N$8:$N$507,"&gt;"&amp;N420)/SUMIF($N$8:$N$507,"&gt;0")&lt;$B$6,"A",IF(SUMIF($N$8:$N$507,"&gt;"&amp;N420)/SUMIF($N$8:$N$507,"&gt;0")&lt;$D$6,"B","C")))</f>
        <v/>
      </c>
      <c r="R420" s="29">
        <f>IF(O420="","",IF(COUNT(B420:M420)&lt;3,"",STDEVP(B420:M420)/AVERAGE(B420:M420)))</f>
        <v/>
      </c>
      <c r="S420" s="28">
        <f>IF(R420="","",IF(R420&lt;=$G$6,"X",IF(R420&lt;=$I$6,"Y","Z")))</f>
        <v/>
      </c>
    </row>
    <row r="421">
      <c r="A421" s="24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6">
        <f>IF(COUNT(B421:M421)=0,"",SUM(B421:M421))</f>
        <v/>
      </c>
      <c r="O421" s="27">
        <f>IF(N421="","",IF(N421&lt;=0,"",N421/SUMIF($N$8:$N$507,"&gt;0")))</f>
        <v/>
      </c>
      <c r="P421" s="27">
        <f>IF(O421="","",SUMIF($N$8:$N$507,"&gt;="&amp;N421)/SUMIF($N$8:$N$507,"&gt;0"))</f>
        <v/>
      </c>
      <c r="Q421" s="28">
        <f>IF(O421="","",IF(SUMIF($N$8:$N$507,"&gt;"&amp;N421)/SUMIF($N$8:$N$507,"&gt;0")&lt;$B$6,"A",IF(SUMIF($N$8:$N$507,"&gt;"&amp;N421)/SUMIF($N$8:$N$507,"&gt;0")&lt;$D$6,"B","C")))</f>
        <v/>
      </c>
      <c r="R421" s="29">
        <f>IF(O421="","",IF(COUNT(B421:M421)&lt;3,"",STDEVP(B421:M421)/AVERAGE(B421:M421)))</f>
        <v/>
      </c>
      <c r="S421" s="28">
        <f>IF(R421="","",IF(R421&lt;=$G$6,"X",IF(R421&lt;=$I$6,"Y","Z")))</f>
        <v/>
      </c>
    </row>
    <row r="42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6">
        <f>IF(COUNT(B422:M422)=0,"",SUM(B422:M422))</f>
        <v/>
      </c>
      <c r="O422" s="27">
        <f>IF(N422="","",IF(N422&lt;=0,"",N422/SUMIF($N$8:$N$507,"&gt;0")))</f>
        <v/>
      </c>
      <c r="P422" s="27">
        <f>IF(O422="","",SUMIF($N$8:$N$507,"&gt;="&amp;N422)/SUMIF($N$8:$N$507,"&gt;0"))</f>
        <v/>
      </c>
      <c r="Q422" s="28">
        <f>IF(O422="","",IF(SUMIF($N$8:$N$507,"&gt;"&amp;N422)/SUMIF($N$8:$N$507,"&gt;0")&lt;$B$6,"A",IF(SUMIF($N$8:$N$507,"&gt;"&amp;N422)/SUMIF($N$8:$N$507,"&gt;0")&lt;$D$6,"B","C")))</f>
        <v/>
      </c>
      <c r="R422" s="29">
        <f>IF(O422="","",IF(COUNT(B422:M422)&lt;3,"",STDEVP(B422:M422)/AVERAGE(B422:M422)))</f>
        <v/>
      </c>
      <c r="S422" s="28">
        <f>IF(R422="","",IF(R422&lt;=$G$6,"X",IF(R422&lt;=$I$6,"Y","Z")))</f>
        <v/>
      </c>
    </row>
    <row r="423">
      <c r="A423" s="24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6">
        <f>IF(COUNT(B423:M423)=0,"",SUM(B423:M423))</f>
        <v/>
      </c>
      <c r="O423" s="27">
        <f>IF(N423="","",IF(N423&lt;=0,"",N423/SUMIF($N$8:$N$507,"&gt;0")))</f>
        <v/>
      </c>
      <c r="P423" s="27">
        <f>IF(O423="","",SUMIF($N$8:$N$507,"&gt;="&amp;N423)/SUMIF($N$8:$N$507,"&gt;0"))</f>
        <v/>
      </c>
      <c r="Q423" s="28">
        <f>IF(O423="","",IF(SUMIF($N$8:$N$507,"&gt;"&amp;N423)/SUMIF($N$8:$N$507,"&gt;0")&lt;$B$6,"A",IF(SUMIF($N$8:$N$507,"&gt;"&amp;N423)/SUMIF($N$8:$N$507,"&gt;0")&lt;$D$6,"B","C")))</f>
        <v/>
      </c>
      <c r="R423" s="29">
        <f>IF(O423="","",IF(COUNT(B423:M423)&lt;3,"",STDEVP(B423:M423)/AVERAGE(B423:M423)))</f>
        <v/>
      </c>
      <c r="S423" s="28">
        <f>IF(R423="","",IF(R423&lt;=$G$6,"X",IF(R423&lt;=$I$6,"Y","Z")))</f>
        <v/>
      </c>
    </row>
    <row r="424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6">
        <f>IF(COUNT(B424:M424)=0,"",SUM(B424:M424))</f>
        <v/>
      </c>
      <c r="O424" s="27">
        <f>IF(N424="","",IF(N424&lt;=0,"",N424/SUMIF($N$8:$N$507,"&gt;0")))</f>
        <v/>
      </c>
      <c r="P424" s="27">
        <f>IF(O424="","",SUMIF($N$8:$N$507,"&gt;="&amp;N424)/SUMIF($N$8:$N$507,"&gt;0"))</f>
        <v/>
      </c>
      <c r="Q424" s="28">
        <f>IF(O424="","",IF(SUMIF($N$8:$N$507,"&gt;"&amp;N424)/SUMIF($N$8:$N$507,"&gt;0")&lt;$B$6,"A",IF(SUMIF($N$8:$N$507,"&gt;"&amp;N424)/SUMIF($N$8:$N$507,"&gt;0")&lt;$D$6,"B","C")))</f>
        <v/>
      </c>
      <c r="R424" s="29">
        <f>IF(O424="","",IF(COUNT(B424:M424)&lt;3,"",STDEVP(B424:M424)/AVERAGE(B424:M424)))</f>
        <v/>
      </c>
      <c r="S424" s="28">
        <f>IF(R424="","",IF(R424&lt;=$G$6,"X",IF(R424&lt;=$I$6,"Y","Z")))</f>
        <v/>
      </c>
    </row>
    <row r="425">
      <c r="A425" s="24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6">
        <f>IF(COUNT(B425:M425)=0,"",SUM(B425:M425))</f>
        <v/>
      </c>
      <c r="O425" s="27">
        <f>IF(N425="","",IF(N425&lt;=0,"",N425/SUMIF($N$8:$N$507,"&gt;0")))</f>
        <v/>
      </c>
      <c r="P425" s="27">
        <f>IF(O425="","",SUMIF($N$8:$N$507,"&gt;="&amp;N425)/SUMIF($N$8:$N$507,"&gt;0"))</f>
        <v/>
      </c>
      <c r="Q425" s="28">
        <f>IF(O425="","",IF(SUMIF($N$8:$N$507,"&gt;"&amp;N425)/SUMIF($N$8:$N$507,"&gt;0")&lt;$B$6,"A",IF(SUMIF($N$8:$N$507,"&gt;"&amp;N425)/SUMIF($N$8:$N$507,"&gt;0")&lt;$D$6,"B","C")))</f>
        <v/>
      </c>
      <c r="R425" s="29">
        <f>IF(O425="","",IF(COUNT(B425:M425)&lt;3,"",STDEVP(B425:M425)/AVERAGE(B425:M425)))</f>
        <v/>
      </c>
      <c r="S425" s="28">
        <f>IF(R425="","",IF(R425&lt;=$G$6,"X",IF(R425&lt;=$I$6,"Y","Z")))</f>
        <v/>
      </c>
    </row>
    <row r="426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6">
        <f>IF(COUNT(B426:M426)=0,"",SUM(B426:M426))</f>
        <v/>
      </c>
      <c r="O426" s="27">
        <f>IF(N426="","",IF(N426&lt;=0,"",N426/SUMIF($N$8:$N$507,"&gt;0")))</f>
        <v/>
      </c>
      <c r="P426" s="27">
        <f>IF(O426="","",SUMIF($N$8:$N$507,"&gt;="&amp;N426)/SUMIF($N$8:$N$507,"&gt;0"))</f>
        <v/>
      </c>
      <c r="Q426" s="28">
        <f>IF(O426="","",IF(SUMIF($N$8:$N$507,"&gt;"&amp;N426)/SUMIF($N$8:$N$507,"&gt;0")&lt;$B$6,"A",IF(SUMIF($N$8:$N$507,"&gt;"&amp;N426)/SUMIF($N$8:$N$507,"&gt;0")&lt;$D$6,"B","C")))</f>
        <v/>
      </c>
      <c r="R426" s="29">
        <f>IF(O426="","",IF(COUNT(B426:M426)&lt;3,"",STDEVP(B426:M426)/AVERAGE(B426:M426)))</f>
        <v/>
      </c>
      <c r="S426" s="28">
        <f>IF(R426="","",IF(R426&lt;=$G$6,"X",IF(R426&lt;=$I$6,"Y","Z")))</f>
        <v/>
      </c>
    </row>
    <row r="427">
      <c r="A427" s="24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6">
        <f>IF(COUNT(B427:M427)=0,"",SUM(B427:M427))</f>
        <v/>
      </c>
      <c r="O427" s="27">
        <f>IF(N427="","",IF(N427&lt;=0,"",N427/SUMIF($N$8:$N$507,"&gt;0")))</f>
        <v/>
      </c>
      <c r="P427" s="27">
        <f>IF(O427="","",SUMIF($N$8:$N$507,"&gt;="&amp;N427)/SUMIF($N$8:$N$507,"&gt;0"))</f>
        <v/>
      </c>
      <c r="Q427" s="28">
        <f>IF(O427="","",IF(SUMIF($N$8:$N$507,"&gt;"&amp;N427)/SUMIF($N$8:$N$507,"&gt;0")&lt;$B$6,"A",IF(SUMIF($N$8:$N$507,"&gt;"&amp;N427)/SUMIF($N$8:$N$507,"&gt;0")&lt;$D$6,"B","C")))</f>
        <v/>
      </c>
      <c r="R427" s="29">
        <f>IF(O427="","",IF(COUNT(B427:M427)&lt;3,"",STDEVP(B427:M427)/AVERAGE(B427:M427)))</f>
        <v/>
      </c>
      <c r="S427" s="28">
        <f>IF(R427="","",IF(R427&lt;=$G$6,"X",IF(R427&lt;=$I$6,"Y","Z")))</f>
        <v/>
      </c>
    </row>
    <row r="428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6">
        <f>IF(COUNT(B428:M428)=0,"",SUM(B428:M428))</f>
        <v/>
      </c>
      <c r="O428" s="27">
        <f>IF(N428="","",IF(N428&lt;=0,"",N428/SUMIF($N$8:$N$507,"&gt;0")))</f>
        <v/>
      </c>
      <c r="P428" s="27">
        <f>IF(O428="","",SUMIF($N$8:$N$507,"&gt;="&amp;N428)/SUMIF($N$8:$N$507,"&gt;0"))</f>
        <v/>
      </c>
      <c r="Q428" s="28">
        <f>IF(O428="","",IF(SUMIF($N$8:$N$507,"&gt;"&amp;N428)/SUMIF($N$8:$N$507,"&gt;0")&lt;$B$6,"A",IF(SUMIF($N$8:$N$507,"&gt;"&amp;N428)/SUMIF($N$8:$N$507,"&gt;0")&lt;$D$6,"B","C")))</f>
        <v/>
      </c>
      <c r="R428" s="29">
        <f>IF(O428="","",IF(COUNT(B428:M428)&lt;3,"",STDEVP(B428:M428)/AVERAGE(B428:M428)))</f>
        <v/>
      </c>
      <c r="S428" s="28">
        <f>IF(R428="","",IF(R428&lt;=$G$6,"X",IF(R428&lt;=$I$6,"Y","Z")))</f>
        <v/>
      </c>
    </row>
    <row r="429">
      <c r="A429" s="24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6">
        <f>IF(COUNT(B429:M429)=0,"",SUM(B429:M429))</f>
        <v/>
      </c>
      <c r="O429" s="27">
        <f>IF(N429="","",IF(N429&lt;=0,"",N429/SUMIF($N$8:$N$507,"&gt;0")))</f>
        <v/>
      </c>
      <c r="P429" s="27">
        <f>IF(O429="","",SUMIF($N$8:$N$507,"&gt;="&amp;N429)/SUMIF($N$8:$N$507,"&gt;0"))</f>
        <v/>
      </c>
      <c r="Q429" s="28">
        <f>IF(O429="","",IF(SUMIF($N$8:$N$507,"&gt;"&amp;N429)/SUMIF($N$8:$N$507,"&gt;0")&lt;$B$6,"A",IF(SUMIF($N$8:$N$507,"&gt;"&amp;N429)/SUMIF($N$8:$N$507,"&gt;0")&lt;$D$6,"B","C")))</f>
        <v/>
      </c>
      <c r="R429" s="29">
        <f>IF(O429="","",IF(COUNT(B429:M429)&lt;3,"",STDEVP(B429:M429)/AVERAGE(B429:M429)))</f>
        <v/>
      </c>
      <c r="S429" s="28">
        <f>IF(R429="","",IF(R429&lt;=$G$6,"X",IF(R429&lt;=$I$6,"Y","Z")))</f>
        <v/>
      </c>
    </row>
    <row r="430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6">
        <f>IF(COUNT(B430:M430)=0,"",SUM(B430:M430))</f>
        <v/>
      </c>
      <c r="O430" s="27">
        <f>IF(N430="","",IF(N430&lt;=0,"",N430/SUMIF($N$8:$N$507,"&gt;0")))</f>
        <v/>
      </c>
      <c r="P430" s="27">
        <f>IF(O430="","",SUMIF($N$8:$N$507,"&gt;="&amp;N430)/SUMIF($N$8:$N$507,"&gt;0"))</f>
        <v/>
      </c>
      <c r="Q430" s="28">
        <f>IF(O430="","",IF(SUMIF($N$8:$N$507,"&gt;"&amp;N430)/SUMIF($N$8:$N$507,"&gt;0")&lt;$B$6,"A",IF(SUMIF($N$8:$N$507,"&gt;"&amp;N430)/SUMIF($N$8:$N$507,"&gt;0")&lt;$D$6,"B","C")))</f>
        <v/>
      </c>
      <c r="R430" s="29">
        <f>IF(O430="","",IF(COUNT(B430:M430)&lt;3,"",STDEVP(B430:M430)/AVERAGE(B430:M430)))</f>
        <v/>
      </c>
      <c r="S430" s="28">
        <f>IF(R430="","",IF(R430&lt;=$G$6,"X",IF(R430&lt;=$I$6,"Y","Z")))</f>
        <v/>
      </c>
    </row>
    <row r="431">
      <c r="A431" s="24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6">
        <f>IF(COUNT(B431:M431)=0,"",SUM(B431:M431))</f>
        <v/>
      </c>
      <c r="O431" s="27">
        <f>IF(N431="","",IF(N431&lt;=0,"",N431/SUMIF($N$8:$N$507,"&gt;0")))</f>
        <v/>
      </c>
      <c r="P431" s="27">
        <f>IF(O431="","",SUMIF($N$8:$N$507,"&gt;="&amp;N431)/SUMIF($N$8:$N$507,"&gt;0"))</f>
        <v/>
      </c>
      <c r="Q431" s="28">
        <f>IF(O431="","",IF(SUMIF($N$8:$N$507,"&gt;"&amp;N431)/SUMIF($N$8:$N$507,"&gt;0")&lt;$B$6,"A",IF(SUMIF($N$8:$N$507,"&gt;"&amp;N431)/SUMIF($N$8:$N$507,"&gt;0")&lt;$D$6,"B","C")))</f>
        <v/>
      </c>
      <c r="R431" s="29">
        <f>IF(O431="","",IF(COUNT(B431:M431)&lt;3,"",STDEVP(B431:M431)/AVERAGE(B431:M431)))</f>
        <v/>
      </c>
      <c r="S431" s="28">
        <f>IF(R431="","",IF(R431&lt;=$G$6,"X",IF(R431&lt;=$I$6,"Y","Z")))</f>
        <v/>
      </c>
    </row>
    <row r="4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6">
        <f>IF(COUNT(B432:M432)=0,"",SUM(B432:M432))</f>
        <v/>
      </c>
      <c r="O432" s="27">
        <f>IF(N432="","",IF(N432&lt;=0,"",N432/SUMIF($N$8:$N$507,"&gt;0")))</f>
        <v/>
      </c>
      <c r="P432" s="27">
        <f>IF(O432="","",SUMIF($N$8:$N$507,"&gt;="&amp;N432)/SUMIF($N$8:$N$507,"&gt;0"))</f>
        <v/>
      </c>
      <c r="Q432" s="28">
        <f>IF(O432="","",IF(SUMIF($N$8:$N$507,"&gt;"&amp;N432)/SUMIF($N$8:$N$507,"&gt;0")&lt;$B$6,"A",IF(SUMIF($N$8:$N$507,"&gt;"&amp;N432)/SUMIF($N$8:$N$507,"&gt;0")&lt;$D$6,"B","C")))</f>
        <v/>
      </c>
      <c r="R432" s="29">
        <f>IF(O432="","",IF(COUNT(B432:M432)&lt;3,"",STDEVP(B432:M432)/AVERAGE(B432:M432)))</f>
        <v/>
      </c>
      <c r="S432" s="28">
        <f>IF(R432="","",IF(R432&lt;=$G$6,"X",IF(R432&lt;=$I$6,"Y","Z")))</f>
        <v/>
      </c>
    </row>
    <row r="433">
      <c r="A433" s="24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6">
        <f>IF(COUNT(B433:M433)=0,"",SUM(B433:M433))</f>
        <v/>
      </c>
      <c r="O433" s="27">
        <f>IF(N433="","",IF(N433&lt;=0,"",N433/SUMIF($N$8:$N$507,"&gt;0")))</f>
        <v/>
      </c>
      <c r="P433" s="27">
        <f>IF(O433="","",SUMIF($N$8:$N$507,"&gt;="&amp;N433)/SUMIF($N$8:$N$507,"&gt;0"))</f>
        <v/>
      </c>
      <c r="Q433" s="28">
        <f>IF(O433="","",IF(SUMIF($N$8:$N$507,"&gt;"&amp;N433)/SUMIF($N$8:$N$507,"&gt;0")&lt;$B$6,"A",IF(SUMIF($N$8:$N$507,"&gt;"&amp;N433)/SUMIF($N$8:$N$507,"&gt;0")&lt;$D$6,"B","C")))</f>
        <v/>
      </c>
      <c r="R433" s="29">
        <f>IF(O433="","",IF(COUNT(B433:M433)&lt;3,"",STDEVP(B433:M433)/AVERAGE(B433:M433)))</f>
        <v/>
      </c>
      <c r="S433" s="28">
        <f>IF(R433="","",IF(R433&lt;=$G$6,"X",IF(R433&lt;=$I$6,"Y","Z")))</f>
        <v/>
      </c>
    </row>
    <row r="434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6">
        <f>IF(COUNT(B434:M434)=0,"",SUM(B434:M434))</f>
        <v/>
      </c>
      <c r="O434" s="27">
        <f>IF(N434="","",IF(N434&lt;=0,"",N434/SUMIF($N$8:$N$507,"&gt;0")))</f>
        <v/>
      </c>
      <c r="P434" s="27">
        <f>IF(O434="","",SUMIF($N$8:$N$507,"&gt;="&amp;N434)/SUMIF($N$8:$N$507,"&gt;0"))</f>
        <v/>
      </c>
      <c r="Q434" s="28">
        <f>IF(O434="","",IF(SUMIF($N$8:$N$507,"&gt;"&amp;N434)/SUMIF($N$8:$N$507,"&gt;0")&lt;$B$6,"A",IF(SUMIF($N$8:$N$507,"&gt;"&amp;N434)/SUMIF($N$8:$N$507,"&gt;0")&lt;$D$6,"B","C")))</f>
        <v/>
      </c>
      <c r="R434" s="29">
        <f>IF(O434="","",IF(COUNT(B434:M434)&lt;3,"",STDEVP(B434:M434)/AVERAGE(B434:M434)))</f>
        <v/>
      </c>
      <c r="S434" s="28">
        <f>IF(R434="","",IF(R434&lt;=$G$6,"X",IF(R434&lt;=$I$6,"Y","Z")))</f>
        <v/>
      </c>
    </row>
    <row r="435">
      <c r="A435" s="24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6">
        <f>IF(COUNT(B435:M435)=0,"",SUM(B435:M435))</f>
        <v/>
      </c>
      <c r="O435" s="27">
        <f>IF(N435="","",IF(N435&lt;=0,"",N435/SUMIF($N$8:$N$507,"&gt;0")))</f>
        <v/>
      </c>
      <c r="P435" s="27">
        <f>IF(O435="","",SUMIF($N$8:$N$507,"&gt;="&amp;N435)/SUMIF($N$8:$N$507,"&gt;0"))</f>
        <v/>
      </c>
      <c r="Q435" s="28">
        <f>IF(O435="","",IF(SUMIF($N$8:$N$507,"&gt;"&amp;N435)/SUMIF($N$8:$N$507,"&gt;0")&lt;$B$6,"A",IF(SUMIF($N$8:$N$507,"&gt;"&amp;N435)/SUMIF($N$8:$N$507,"&gt;0")&lt;$D$6,"B","C")))</f>
        <v/>
      </c>
      <c r="R435" s="29">
        <f>IF(O435="","",IF(COUNT(B435:M435)&lt;3,"",STDEVP(B435:M435)/AVERAGE(B435:M435)))</f>
        <v/>
      </c>
      <c r="S435" s="28">
        <f>IF(R435="","",IF(R435&lt;=$G$6,"X",IF(R435&lt;=$I$6,"Y","Z")))</f>
        <v/>
      </c>
    </row>
    <row r="436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6">
        <f>IF(COUNT(B436:M436)=0,"",SUM(B436:M436))</f>
        <v/>
      </c>
      <c r="O436" s="27">
        <f>IF(N436="","",IF(N436&lt;=0,"",N436/SUMIF($N$8:$N$507,"&gt;0")))</f>
        <v/>
      </c>
      <c r="P436" s="27">
        <f>IF(O436="","",SUMIF($N$8:$N$507,"&gt;="&amp;N436)/SUMIF($N$8:$N$507,"&gt;0"))</f>
        <v/>
      </c>
      <c r="Q436" s="28">
        <f>IF(O436="","",IF(SUMIF($N$8:$N$507,"&gt;"&amp;N436)/SUMIF($N$8:$N$507,"&gt;0")&lt;$B$6,"A",IF(SUMIF($N$8:$N$507,"&gt;"&amp;N436)/SUMIF($N$8:$N$507,"&gt;0")&lt;$D$6,"B","C")))</f>
        <v/>
      </c>
      <c r="R436" s="29">
        <f>IF(O436="","",IF(COUNT(B436:M436)&lt;3,"",STDEVP(B436:M436)/AVERAGE(B436:M436)))</f>
        <v/>
      </c>
      <c r="S436" s="28">
        <f>IF(R436="","",IF(R436&lt;=$G$6,"X",IF(R436&lt;=$I$6,"Y","Z")))</f>
        <v/>
      </c>
    </row>
    <row r="437">
      <c r="A437" s="24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6">
        <f>IF(COUNT(B437:M437)=0,"",SUM(B437:M437))</f>
        <v/>
      </c>
      <c r="O437" s="27">
        <f>IF(N437="","",IF(N437&lt;=0,"",N437/SUMIF($N$8:$N$507,"&gt;0")))</f>
        <v/>
      </c>
      <c r="P437" s="27">
        <f>IF(O437="","",SUMIF($N$8:$N$507,"&gt;="&amp;N437)/SUMIF($N$8:$N$507,"&gt;0"))</f>
        <v/>
      </c>
      <c r="Q437" s="28">
        <f>IF(O437="","",IF(SUMIF($N$8:$N$507,"&gt;"&amp;N437)/SUMIF($N$8:$N$507,"&gt;0")&lt;$B$6,"A",IF(SUMIF($N$8:$N$507,"&gt;"&amp;N437)/SUMIF($N$8:$N$507,"&gt;0")&lt;$D$6,"B","C")))</f>
        <v/>
      </c>
      <c r="R437" s="29">
        <f>IF(O437="","",IF(COUNT(B437:M437)&lt;3,"",STDEVP(B437:M437)/AVERAGE(B437:M437)))</f>
        <v/>
      </c>
      <c r="S437" s="28">
        <f>IF(R437="","",IF(R437&lt;=$G$6,"X",IF(R437&lt;=$I$6,"Y","Z")))</f>
        <v/>
      </c>
    </row>
    <row r="438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6">
        <f>IF(COUNT(B438:M438)=0,"",SUM(B438:M438))</f>
        <v/>
      </c>
      <c r="O438" s="27">
        <f>IF(N438="","",IF(N438&lt;=0,"",N438/SUMIF($N$8:$N$507,"&gt;0")))</f>
        <v/>
      </c>
      <c r="P438" s="27">
        <f>IF(O438="","",SUMIF($N$8:$N$507,"&gt;="&amp;N438)/SUMIF($N$8:$N$507,"&gt;0"))</f>
        <v/>
      </c>
      <c r="Q438" s="28">
        <f>IF(O438="","",IF(SUMIF($N$8:$N$507,"&gt;"&amp;N438)/SUMIF($N$8:$N$507,"&gt;0")&lt;$B$6,"A",IF(SUMIF($N$8:$N$507,"&gt;"&amp;N438)/SUMIF($N$8:$N$507,"&gt;0")&lt;$D$6,"B","C")))</f>
        <v/>
      </c>
      <c r="R438" s="29">
        <f>IF(O438="","",IF(COUNT(B438:M438)&lt;3,"",STDEVP(B438:M438)/AVERAGE(B438:M438)))</f>
        <v/>
      </c>
      <c r="S438" s="28">
        <f>IF(R438="","",IF(R438&lt;=$G$6,"X",IF(R438&lt;=$I$6,"Y","Z")))</f>
        <v/>
      </c>
    </row>
    <row r="439">
      <c r="A439" s="24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6">
        <f>IF(COUNT(B439:M439)=0,"",SUM(B439:M439))</f>
        <v/>
      </c>
      <c r="O439" s="27">
        <f>IF(N439="","",IF(N439&lt;=0,"",N439/SUMIF($N$8:$N$507,"&gt;0")))</f>
        <v/>
      </c>
      <c r="P439" s="27">
        <f>IF(O439="","",SUMIF($N$8:$N$507,"&gt;="&amp;N439)/SUMIF($N$8:$N$507,"&gt;0"))</f>
        <v/>
      </c>
      <c r="Q439" s="28">
        <f>IF(O439="","",IF(SUMIF($N$8:$N$507,"&gt;"&amp;N439)/SUMIF($N$8:$N$507,"&gt;0")&lt;$B$6,"A",IF(SUMIF($N$8:$N$507,"&gt;"&amp;N439)/SUMIF($N$8:$N$507,"&gt;0")&lt;$D$6,"B","C")))</f>
        <v/>
      </c>
      <c r="R439" s="29">
        <f>IF(O439="","",IF(COUNT(B439:M439)&lt;3,"",STDEVP(B439:M439)/AVERAGE(B439:M439)))</f>
        <v/>
      </c>
      <c r="S439" s="28">
        <f>IF(R439="","",IF(R439&lt;=$G$6,"X",IF(R439&lt;=$I$6,"Y","Z")))</f>
        <v/>
      </c>
    </row>
    <row r="440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6">
        <f>IF(COUNT(B440:M440)=0,"",SUM(B440:M440))</f>
        <v/>
      </c>
      <c r="O440" s="27">
        <f>IF(N440="","",IF(N440&lt;=0,"",N440/SUMIF($N$8:$N$507,"&gt;0")))</f>
        <v/>
      </c>
      <c r="P440" s="27">
        <f>IF(O440="","",SUMIF($N$8:$N$507,"&gt;="&amp;N440)/SUMIF($N$8:$N$507,"&gt;0"))</f>
        <v/>
      </c>
      <c r="Q440" s="28">
        <f>IF(O440="","",IF(SUMIF($N$8:$N$507,"&gt;"&amp;N440)/SUMIF($N$8:$N$507,"&gt;0")&lt;$B$6,"A",IF(SUMIF($N$8:$N$507,"&gt;"&amp;N440)/SUMIF($N$8:$N$507,"&gt;0")&lt;$D$6,"B","C")))</f>
        <v/>
      </c>
      <c r="R440" s="29">
        <f>IF(O440="","",IF(COUNT(B440:M440)&lt;3,"",STDEVP(B440:M440)/AVERAGE(B440:M440)))</f>
        <v/>
      </c>
      <c r="S440" s="28">
        <f>IF(R440="","",IF(R440&lt;=$G$6,"X",IF(R440&lt;=$I$6,"Y","Z")))</f>
        <v/>
      </c>
    </row>
    <row r="441">
      <c r="A441" s="24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6">
        <f>IF(COUNT(B441:M441)=0,"",SUM(B441:M441))</f>
        <v/>
      </c>
      <c r="O441" s="27">
        <f>IF(N441="","",IF(N441&lt;=0,"",N441/SUMIF($N$8:$N$507,"&gt;0")))</f>
        <v/>
      </c>
      <c r="P441" s="27">
        <f>IF(O441="","",SUMIF($N$8:$N$507,"&gt;="&amp;N441)/SUMIF($N$8:$N$507,"&gt;0"))</f>
        <v/>
      </c>
      <c r="Q441" s="28">
        <f>IF(O441="","",IF(SUMIF($N$8:$N$507,"&gt;"&amp;N441)/SUMIF($N$8:$N$507,"&gt;0")&lt;$B$6,"A",IF(SUMIF($N$8:$N$507,"&gt;"&amp;N441)/SUMIF($N$8:$N$507,"&gt;0")&lt;$D$6,"B","C")))</f>
        <v/>
      </c>
      <c r="R441" s="29">
        <f>IF(O441="","",IF(COUNT(B441:M441)&lt;3,"",STDEVP(B441:M441)/AVERAGE(B441:M441)))</f>
        <v/>
      </c>
      <c r="S441" s="28">
        <f>IF(R441="","",IF(R441&lt;=$G$6,"X",IF(R441&lt;=$I$6,"Y","Z")))</f>
        <v/>
      </c>
    </row>
    <row r="44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6">
        <f>IF(COUNT(B442:M442)=0,"",SUM(B442:M442))</f>
        <v/>
      </c>
      <c r="O442" s="27">
        <f>IF(N442="","",IF(N442&lt;=0,"",N442/SUMIF($N$8:$N$507,"&gt;0")))</f>
        <v/>
      </c>
      <c r="P442" s="27">
        <f>IF(O442="","",SUMIF($N$8:$N$507,"&gt;="&amp;N442)/SUMIF($N$8:$N$507,"&gt;0"))</f>
        <v/>
      </c>
      <c r="Q442" s="28">
        <f>IF(O442="","",IF(SUMIF($N$8:$N$507,"&gt;"&amp;N442)/SUMIF($N$8:$N$507,"&gt;0")&lt;$B$6,"A",IF(SUMIF($N$8:$N$507,"&gt;"&amp;N442)/SUMIF($N$8:$N$507,"&gt;0")&lt;$D$6,"B","C")))</f>
        <v/>
      </c>
      <c r="R442" s="29">
        <f>IF(O442="","",IF(COUNT(B442:M442)&lt;3,"",STDEVP(B442:M442)/AVERAGE(B442:M442)))</f>
        <v/>
      </c>
      <c r="S442" s="28">
        <f>IF(R442="","",IF(R442&lt;=$G$6,"X",IF(R442&lt;=$I$6,"Y","Z")))</f>
        <v/>
      </c>
    </row>
    <row r="443">
      <c r="A443" s="24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6">
        <f>IF(COUNT(B443:M443)=0,"",SUM(B443:M443))</f>
        <v/>
      </c>
      <c r="O443" s="27">
        <f>IF(N443="","",IF(N443&lt;=0,"",N443/SUMIF($N$8:$N$507,"&gt;0")))</f>
        <v/>
      </c>
      <c r="P443" s="27">
        <f>IF(O443="","",SUMIF($N$8:$N$507,"&gt;="&amp;N443)/SUMIF($N$8:$N$507,"&gt;0"))</f>
        <v/>
      </c>
      <c r="Q443" s="28">
        <f>IF(O443="","",IF(SUMIF($N$8:$N$507,"&gt;"&amp;N443)/SUMIF($N$8:$N$507,"&gt;0")&lt;$B$6,"A",IF(SUMIF($N$8:$N$507,"&gt;"&amp;N443)/SUMIF($N$8:$N$507,"&gt;0")&lt;$D$6,"B","C")))</f>
        <v/>
      </c>
      <c r="R443" s="29">
        <f>IF(O443="","",IF(COUNT(B443:M443)&lt;3,"",STDEVP(B443:M443)/AVERAGE(B443:M443)))</f>
        <v/>
      </c>
      <c r="S443" s="28">
        <f>IF(R443="","",IF(R443&lt;=$G$6,"X",IF(R443&lt;=$I$6,"Y","Z")))</f>
        <v/>
      </c>
    </row>
    <row r="444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6">
        <f>IF(COUNT(B444:M444)=0,"",SUM(B444:M444))</f>
        <v/>
      </c>
      <c r="O444" s="27">
        <f>IF(N444="","",IF(N444&lt;=0,"",N444/SUMIF($N$8:$N$507,"&gt;0")))</f>
        <v/>
      </c>
      <c r="P444" s="27">
        <f>IF(O444="","",SUMIF($N$8:$N$507,"&gt;="&amp;N444)/SUMIF($N$8:$N$507,"&gt;0"))</f>
        <v/>
      </c>
      <c r="Q444" s="28">
        <f>IF(O444="","",IF(SUMIF($N$8:$N$507,"&gt;"&amp;N444)/SUMIF($N$8:$N$507,"&gt;0")&lt;$B$6,"A",IF(SUMIF($N$8:$N$507,"&gt;"&amp;N444)/SUMIF($N$8:$N$507,"&gt;0")&lt;$D$6,"B","C")))</f>
        <v/>
      </c>
      <c r="R444" s="29">
        <f>IF(O444="","",IF(COUNT(B444:M444)&lt;3,"",STDEVP(B444:M444)/AVERAGE(B444:M444)))</f>
        <v/>
      </c>
      <c r="S444" s="28">
        <f>IF(R444="","",IF(R444&lt;=$G$6,"X",IF(R444&lt;=$I$6,"Y","Z")))</f>
        <v/>
      </c>
    </row>
    <row r="445">
      <c r="A445" s="24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6">
        <f>IF(COUNT(B445:M445)=0,"",SUM(B445:M445))</f>
        <v/>
      </c>
      <c r="O445" s="27">
        <f>IF(N445="","",IF(N445&lt;=0,"",N445/SUMIF($N$8:$N$507,"&gt;0")))</f>
        <v/>
      </c>
      <c r="P445" s="27">
        <f>IF(O445="","",SUMIF($N$8:$N$507,"&gt;="&amp;N445)/SUMIF($N$8:$N$507,"&gt;0"))</f>
        <v/>
      </c>
      <c r="Q445" s="28">
        <f>IF(O445="","",IF(SUMIF($N$8:$N$507,"&gt;"&amp;N445)/SUMIF($N$8:$N$507,"&gt;0")&lt;$B$6,"A",IF(SUMIF($N$8:$N$507,"&gt;"&amp;N445)/SUMIF($N$8:$N$507,"&gt;0")&lt;$D$6,"B","C")))</f>
        <v/>
      </c>
      <c r="R445" s="29">
        <f>IF(O445="","",IF(COUNT(B445:M445)&lt;3,"",STDEVP(B445:M445)/AVERAGE(B445:M445)))</f>
        <v/>
      </c>
      <c r="S445" s="28">
        <f>IF(R445="","",IF(R445&lt;=$G$6,"X",IF(R445&lt;=$I$6,"Y","Z")))</f>
        <v/>
      </c>
    </row>
    <row r="446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6">
        <f>IF(COUNT(B446:M446)=0,"",SUM(B446:M446))</f>
        <v/>
      </c>
      <c r="O446" s="27">
        <f>IF(N446="","",IF(N446&lt;=0,"",N446/SUMIF($N$8:$N$507,"&gt;0")))</f>
        <v/>
      </c>
      <c r="P446" s="27">
        <f>IF(O446="","",SUMIF($N$8:$N$507,"&gt;="&amp;N446)/SUMIF($N$8:$N$507,"&gt;0"))</f>
        <v/>
      </c>
      <c r="Q446" s="28">
        <f>IF(O446="","",IF(SUMIF($N$8:$N$507,"&gt;"&amp;N446)/SUMIF($N$8:$N$507,"&gt;0")&lt;$B$6,"A",IF(SUMIF($N$8:$N$507,"&gt;"&amp;N446)/SUMIF($N$8:$N$507,"&gt;0")&lt;$D$6,"B","C")))</f>
        <v/>
      </c>
      <c r="R446" s="29">
        <f>IF(O446="","",IF(COUNT(B446:M446)&lt;3,"",STDEVP(B446:M446)/AVERAGE(B446:M446)))</f>
        <v/>
      </c>
      <c r="S446" s="28">
        <f>IF(R446="","",IF(R446&lt;=$G$6,"X",IF(R446&lt;=$I$6,"Y","Z")))</f>
        <v/>
      </c>
    </row>
    <row r="447">
      <c r="A447" s="24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6">
        <f>IF(COUNT(B447:M447)=0,"",SUM(B447:M447))</f>
        <v/>
      </c>
      <c r="O447" s="27">
        <f>IF(N447="","",IF(N447&lt;=0,"",N447/SUMIF($N$8:$N$507,"&gt;0")))</f>
        <v/>
      </c>
      <c r="P447" s="27">
        <f>IF(O447="","",SUMIF($N$8:$N$507,"&gt;="&amp;N447)/SUMIF($N$8:$N$507,"&gt;0"))</f>
        <v/>
      </c>
      <c r="Q447" s="28">
        <f>IF(O447="","",IF(SUMIF($N$8:$N$507,"&gt;"&amp;N447)/SUMIF($N$8:$N$507,"&gt;0")&lt;$B$6,"A",IF(SUMIF($N$8:$N$507,"&gt;"&amp;N447)/SUMIF($N$8:$N$507,"&gt;0")&lt;$D$6,"B","C")))</f>
        <v/>
      </c>
      <c r="R447" s="29">
        <f>IF(O447="","",IF(COUNT(B447:M447)&lt;3,"",STDEVP(B447:M447)/AVERAGE(B447:M447)))</f>
        <v/>
      </c>
      <c r="S447" s="28">
        <f>IF(R447="","",IF(R447&lt;=$G$6,"X",IF(R447&lt;=$I$6,"Y","Z")))</f>
        <v/>
      </c>
    </row>
    <row r="448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6">
        <f>IF(COUNT(B448:M448)=0,"",SUM(B448:M448))</f>
        <v/>
      </c>
      <c r="O448" s="27">
        <f>IF(N448="","",IF(N448&lt;=0,"",N448/SUMIF($N$8:$N$507,"&gt;0")))</f>
        <v/>
      </c>
      <c r="P448" s="27">
        <f>IF(O448="","",SUMIF($N$8:$N$507,"&gt;="&amp;N448)/SUMIF($N$8:$N$507,"&gt;0"))</f>
        <v/>
      </c>
      <c r="Q448" s="28">
        <f>IF(O448="","",IF(SUMIF($N$8:$N$507,"&gt;"&amp;N448)/SUMIF($N$8:$N$507,"&gt;0")&lt;$B$6,"A",IF(SUMIF($N$8:$N$507,"&gt;"&amp;N448)/SUMIF($N$8:$N$507,"&gt;0")&lt;$D$6,"B","C")))</f>
        <v/>
      </c>
      <c r="R448" s="29">
        <f>IF(O448="","",IF(COUNT(B448:M448)&lt;3,"",STDEVP(B448:M448)/AVERAGE(B448:M448)))</f>
        <v/>
      </c>
      <c r="S448" s="28">
        <f>IF(R448="","",IF(R448&lt;=$G$6,"X",IF(R448&lt;=$I$6,"Y","Z")))</f>
        <v/>
      </c>
    </row>
    <row r="449">
      <c r="A449" s="24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6">
        <f>IF(COUNT(B449:M449)=0,"",SUM(B449:M449))</f>
        <v/>
      </c>
      <c r="O449" s="27">
        <f>IF(N449="","",IF(N449&lt;=0,"",N449/SUMIF($N$8:$N$507,"&gt;0")))</f>
        <v/>
      </c>
      <c r="P449" s="27">
        <f>IF(O449="","",SUMIF($N$8:$N$507,"&gt;="&amp;N449)/SUMIF($N$8:$N$507,"&gt;0"))</f>
        <v/>
      </c>
      <c r="Q449" s="28">
        <f>IF(O449="","",IF(SUMIF($N$8:$N$507,"&gt;"&amp;N449)/SUMIF($N$8:$N$507,"&gt;0")&lt;$B$6,"A",IF(SUMIF($N$8:$N$507,"&gt;"&amp;N449)/SUMIF($N$8:$N$507,"&gt;0")&lt;$D$6,"B","C")))</f>
        <v/>
      </c>
      <c r="R449" s="29">
        <f>IF(O449="","",IF(COUNT(B449:M449)&lt;3,"",STDEVP(B449:M449)/AVERAGE(B449:M449)))</f>
        <v/>
      </c>
      <c r="S449" s="28">
        <f>IF(R449="","",IF(R449&lt;=$G$6,"X",IF(R449&lt;=$I$6,"Y","Z")))</f>
        <v/>
      </c>
    </row>
    <row r="450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6">
        <f>IF(COUNT(B450:M450)=0,"",SUM(B450:M450))</f>
        <v/>
      </c>
      <c r="O450" s="27">
        <f>IF(N450="","",IF(N450&lt;=0,"",N450/SUMIF($N$8:$N$507,"&gt;0")))</f>
        <v/>
      </c>
      <c r="P450" s="27">
        <f>IF(O450="","",SUMIF($N$8:$N$507,"&gt;="&amp;N450)/SUMIF($N$8:$N$507,"&gt;0"))</f>
        <v/>
      </c>
      <c r="Q450" s="28">
        <f>IF(O450="","",IF(SUMIF($N$8:$N$507,"&gt;"&amp;N450)/SUMIF($N$8:$N$507,"&gt;0")&lt;$B$6,"A",IF(SUMIF($N$8:$N$507,"&gt;"&amp;N450)/SUMIF($N$8:$N$507,"&gt;0")&lt;$D$6,"B","C")))</f>
        <v/>
      </c>
      <c r="R450" s="29">
        <f>IF(O450="","",IF(COUNT(B450:M450)&lt;3,"",STDEVP(B450:M450)/AVERAGE(B450:M450)))</f>
        <v/>
      </c>
      <c r="S450" s="28">
        <f>IF(R450="","",IF(R450&lt;=$G$6,"X",IF(R450&lt;=$I$6,"Y","Z")))</f>
        <v/>
      </c>
    </row>
    <row r="451">
      <c r="A451" s="24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6">
        <f>IF(COUNT(B451:M451)=0,"",SUM(B451:M451))</f>
        <v/>
      </c>
      <c r="O451" s="27">
        <f>IF(N451="","",IF(N451&lt;=0,"",N451/SUMIF($N$8:$N$507,"&gt;0")))</f>
        <v/>
      </c>
      <c r="P451" s="27">
        <f>IF(O451="","",SUMIF($N$8:$N$507,"&gt;="&amp;N451)/SUMIF($N$8:$N$507,"&gt;0"))</f>
        <v/>
      </c>
      <c r="Q451" s="28">
        <f>IF(O451="","",IF(SUMIF($N$8:$N$507,"&gt;"&amp;N451)/SUMIF($N$8:$N$507,"&gt;0")&lt;$B$6,"A",IF(SUMIF($N$8:$N$507,"&gt;"&amp;N451)/SUMIF($N$8:$N$507,"&gt;0")&lt;$D$6,"B","C")))</f>
        <v/>
      </c>
      <c r="R451" s="29">
        <f>IF(O451="","",IF(COUNT(B451:M451)&lt;3,"",STDEVP(B451:M451)/AVERAGE(B451:M451)))</f>
        <v/>
      </c>
      <c r="S451" s="28">
        <f>IF(R451="","",IF(R451&lt;=$G$6,"X",IF(R451&lt;=$I$6,"Y","Z")))</f>
        <v/>
      </c>
    </row>
    <row r="45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6">
        <f>IF(COUNT(B452:M452)=0,"",SUM(B452:M452))</f>
        <v/>
      </c>
      <c r="O452" s="27">
        <f>IF(N452="","",IF(N452&lt;=0,"",N452/SUMIF($N$8:$N$507,"&gt;0")))</f>
        <v/>
      </c>
      <c r="P452" s="27">
        <f>IF(O452="","",SUMIF($N$8:$N$507,"&gt;="&amp;N452)/SUMIF($N$8:$N$507,"&gt;0"))</f>
        <v/>
      </c>
      <c r="Q452" s="28">
        <f>IF(O452="","",IF(SUMIF($N$8:$N$507,"&gt;"&amp;N452)/SUMIF($N$8:$N$507,"&gt;0")&lt;$B$6,"A",IF(SUMIF($N$8:$N$507,"&gt;"&amp;N452)/SUMIF($N$8:$N$507,"&gt;0")&lt;$D$6,"B","C")))</f>
        <v/>
      </c>
      <c r="R452" s="29">
        <f>IF(O452="","",IF(COUNT(B452:M452)&lt;3,"",STDEVP(B452:M452)/AVERAGE(B452:M452)))</f>
        <v/>
      </c>
      <c r="S452" s="28">
        <f>IF(R452="","",IF(R452&lt;=$G$6,"X",IF(R452&lt;=$I$6,"Y","Z")))</f>
        <v/>
      </c>
    </row>
    <row r="453">
      <c r="A453" s="24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6">
        <f>IF(COUNT(B453:M453)=0,"",SUM(B453:M453))</f>
        <v/>
      </c>
      <c r="O453" s="27">
        <f>IF(N453="","",IF(N453&lt;=0,"",N453/SUMIF($N$8:$N$507,"&gt;0")))</f>
        <v/>
      </c>
      <c r="P453" s="27">
        <f>IF(O453="","",SUMIF($N$8:$N$507,"&gt;="&amp;N453)/SUMIF($N$8:$N$507,"&gt;0"))</f>
        <v/>
      </c>
      <c r="Q453" s="28">
        <f>IF(O453="","",IF(SUMIF($N$8:$N$507,"&gt;"&amp;N453)/SUMIF($N$8:$N$507,"&gt;0")&lt;$B$6,"A",IF(SUMIF($N$8:$N$507,"&gt;"&amp;N453)/SUMIF($N$8:$N$507,"&gt;0")&lt;$D$6,"B","C")))</f>
        <v/>
      </c>
      <c r="R453" s="29">
        <f>IF(O453="","",IF(COUNT(B453:M453)&lt;3,"",STDEVP(B453:M453)/AVERAGE(B453:M453)))</f>
        <v/>
      </c>
      <c r="S453" s="28">
        <f>IF(R453="","",IF(R453&lt;=$G$6,"X",IF(R453&lt;=$I$6,"Y","Z")))</f>
        <v/>
      </c>
    </row>
    <row r="454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6">
        <f>IF(COUNT(B454:M454)=0,"",SUM(B454:M454))</f>
        <v/>
      </c>
      <c r="O454" s="27">
        <f>IF(N454="","",IF(N454&lt;=0,"",N454/SUMIF($N$8:$N$507,"&gt;0")))</f>
        <v/>
      </c>
      <c r="P454" s="27">
        <f>IF(O454="","",SUMIF($N$8:$N$507,"&gt;="&amp;N454)/SUMIF($N$8:$N$507,"&gt;0"))</f>
        <v/>
      </c>
      <c r="Q454" s="28">
        <f>IF(O454="","",IF(SUMIF($N$8:$N$507,"&gt;"&amp;N454)/SUMIF($N$8:$N$507,"&gt;0")&lt;$B$6,"A",IF(SUMIF($N$8:$N$507,"&gt;"&amp;N454)/SUMIF($N$8:$N$507,"&gt;0")&lt;$D$6,"B","C")))</f>
        <v/>
      </c>
      <c r="R454" s="29">
        <f>IF(O454="","",IF(COUNT(B454:M454)&lt;3,"",STDEVP(B454:M454)/AVERAGE(B454:M454)))</f>
        <v/>
      </c>
      <c r="S454" s="28">
        <f>IF(R454="","",IF(R454&lt;=$G$6,"X",IF(R454&lt;=$I$6,"Y","Z")))</f>
        <v/>
      </c>
    </row>
    <row r="455">
      <c r="A455" s="24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6">
        <f>IF(COUNT(B455:M455)=0,"",SUM(B455:M455))</f>
        <v/>
      </c>
      <c r="O455" s="27">
        <f>IF(N455="","",IF(N455&lt;=0,"",N455/SUMIF($N$8:$N$507,"&gt;0")))</f>
        <v/>
      </c>
      <c r="P455" s="27">
        <f>IF(O455="","",SUMIF($N$8:$N$507,"&gt;="&amp;N455)/SUMIF($N$8:$N$507,"&gt;0"))</f>
        <v/>
      </c>
      <c r="Q455" s="28">
        <f>IF(O455="","",IF(SUMIF($N$8:$N$507,"&gt;"&amp;N455)/SUMIF($N$8:$N$507,"&gt;0")&lt;$B$6,"A",IF(SUMIF($N$8:$N$507,"&gt;"&amp;N455)/SUMIF($N$8:$N$507,"&gt;0")&lt;$D$6,"B","C")))</f>
        <v/>
      </c>
      <c r="R455" s="29">
        <f>IF(O455="","",IF(COUNT(B455:M455)&lt;3,"",STDEVP(B455:M455)/AVERAGE(B455:M455)))</f>
        <v/>
      </c>
      <c r="S455" s="28">
        <f>IF(R455="","",IF(R455&lt;=$G$6,"X",IF(R455&lt;=$I$6,"Y","Z")))</f>
        <v/>
      </c>
    </row>
    <row r="456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6">
        <f>IF(COUNT(B456:M456)=0,"",SUM(B456:M456))</f>
        <v/>
      </c>
      <c r="O456" s="27">
        <f>IF(N456="","",IF(N456&lt;=0,"",N456/SUMIF($N$8:$N$507,"&gt;0")))</f>
        <v/>
      </c>
      <c r="P456" s="27">
        <f>IF(O456="","",SUMIF($N$8:$N$507,"&gt;="&amp;N456)/SUMIF($N$8:$N$507,"&gt;0"))</f>
        <v/>
      </c>
      <c r="Q456" s="28">
        <f>IF(O456="","",IF(SUMIF($N$8:$N$507,"&gt;"&amp;N456)/SUMIF($N$8:$N$507,"&gt;0")&lt;$B$6,"A",IF(SUMIF($N$8:$N$507,"&gt;"&amp;N456)/SUMIF($N$8:$N$507,"&gt;0")&lt;$D$6,"B","C")))</f>
        <v/>
      </c>
      <c r="R456" s="29">
        <f>IF(O456="","",IF(COUNT(B456:M456)&lt;3,"",STDEVP(B456:M456)/AVERAGE(B456:M456)))</f>
        <v/>
      </c>
      <c r="S456" s="28">
        <f>IF(R456="","",IF(R456&lt;=$G$6,"X",IF(R456&lt;=$I$6,"Y","Z")))</f>
        <v/>
      </c>
    </row>
    <row r="457">
      <c r="A457" s="24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6">
        <f>IF(COUNT(B457:M457)=0,"",SUM(B457:M457))</f>
        <v/>
      </c>
      <c r="O457" s="27">
        <f>IF(N457="","",IF(N457&lt;=0,"",N457/SUMIF($N$8:$N$507,"&gt;0")))</f>
        <v/>
      </c>
      <c r="P457" s="27">
        <f>IF(O457="","",SUMIF($N$8:$N$507,"&gt;="&amp;N457)/SUMIF($N$8:$N$507,"&gt;0"))</f>
        <v/>
      </c>
      <c r="Q457" s="28">
        <f>IF(O457="","",IF(SUMIF($N$8:$N$507,"&gt;"&amp;N457)/SUMIF($N$8:$N$507,"&gt;0")&lt;$B$6,"A",IF(SUMIF($N$8:$N$507,"&gt;"&amp;N457)/SUMIF($N$8:$N$507,"&gt;0")&lt;$D$6,"B","C")))</f>
        <v/>
      </c>
      <c r="R457" s="29">
        <f>IF(O457="","",IF(COUNT(B457:M457)&lt;3,"",STDEVP(B457:M457)/AVERAGE(B457:M457)))</f>
        <v/>
      </c>
      <c r="S457" s="28">
        <f>IF(R457="","",IF(R457&lt;=$G$6,"X",IF(R457&lt;=$I$6,"Y","Z")))</f>
        <v/>
      </c>
    </row>
    <row r="458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6">
        <f>IF(COUNT(B458:M458)=0,"",SUM(B458:M458))</f>
        <v/>
      </c>
      <c r="O458" s="27">
        <f>IF(N458="","",IF(N458&lt;=0,"",N458/SUMIF($N$8:$N$507,"&gt;0")))</f>
        <v/>
      </c>
      <c r="P458" s="27">
        <f>IF(O458="","",SUMIF($N$8:$N$507,"&gt;="&amp;N458)/SUMIF($N$8:$N$507,"&gt;0"))</f>
        <v/>
      </c>
      <c r="Q458" s="28">
        <f>IF(O458="","",IF(SUMIF($N$8:$N$507,"&gt;"&amp;N458)/SUMIF($N$8:$N$507,"&gt;0")&lt;$B$6,"A",IF(SUMIF($N$8:$N$507,"&gt;"&amp;N458)/SUMIF($N$8:$N$507,"&gt;0")&lt;$D$6,"B","C")))</f>
        <v/>
      </c>
      <c r="R458" s="29">
        <f>IF(O458="","",IF(COUNT(B458:M458)&lt;3,"",STDEVP(B458:M458)/AVERAGE(B458:M458)))</f>
        <v/>
      </c>
      <c r="S458" s="28">
        <f>IF(R458="","",IF(R458&lt;=$G$6,"X",IF(R458&lt;=$I$6,"Y","Z")))</f>
        <v/>
      </c>
    </row>
    <row r="459">
      <c r="A459" s="24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6">
        <f>IF(COUNT(B459:M459)=0,"",SUM(B459:M459))</f>
        <v/>
      </c>
      <c r="O459" s="27">
        <f>IF(N459="","",IF(N459&lt;=0,"",N459/SUMIF($N$8:$N$507,"&gt;0")))</f>
        <v/>
      </c>
      <c r="P459" s="27">
        <f>IF(O459="","",SUMIF($N$8:$N$507,"&gt;="&amp;N459)/SUMIF($N$8:$N$507,"&gt;0"))</f>
        <v/>
      </c>
      <c r="Q459" s="28">
        <f>IF(O459="","",IF(SUMIF($N$8:$N$507,"&gt;"&amp;N459)/SUMIF($N$8:$N$507,"&gt;0")&lt;$B$6,"A",IF(SUMIF($N$8:$N$507,"&gt;"&amp;N459)/SUMIF($N$8:$N$507,"&gt;0")&lt;$D$6,"B","C")))</f>
        <v/>
      </c>
      <c r="R459" s="29">
        <f>IF(O459="","",IF(COUNT(B459:M459)&lt;3,"",STDEVP(B459:M459)/AVERAGE(B459:M459)))</f>
        <v/>
      </c>
      <c r="S459" s="28">
        <f>IF(R459="","",IF(R459&lt;=$G$6,"X",IF(R459&lt;=$I$6,"Y","Z")))</f>
        <v/>
      </c>
    </row>
    <row r="460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6">
        <f>IF(COUNT(B460:M460)=0,"",SUM(B460:M460))</f>
        <v/>
      </c>
      <c r="O460" s="27">
        <f>IF(N460="","",IF(N460&lt;=0,"",N460/SUMIF($N$8:$N$507,"&gt;0")))</f>
        <v/>
      </c>
      <c r="P460" s="27">
        <f>IF(O460="","",SUMIF($N$8:$N$507,"&gt;="&amp;N460)/SUMIF($N$8:$N$507,"&gt;0"))</f>
        <v/>
      </c>
      <c r="Q460" s="28">
        <f>IF(O460="","",IF(SUMIF($N$8:$N$507,"&gt;"&amp;N460)/SUMIF($N$8:$N$507,"&gt;0")&lt;$B$6,"A",IF(SUMIF($N$8:$N$507,"&gt;"&amp;N460)/SUMIF($N$8:$N$507,"&gt;0")&lt;$D$6,"B","C")))</f>
        <v/>
      </c>
      <c r="R460" s="29">
        <f>IF(O460="","",IF(COUNT(B460:M460)&lt;3,"",STDEVP(B460:M460)/AVERAGE(B460:M460)))</f>
        <v/>
      </c>
      <c r="S460" s="28">
        <f>IF(R460="","",IF(R460&lt;=$G$6,"X",IF(R460&lt;=$I$6,"Y","Z")))</f>
        <v/>
      </c>
    </row>
    <row r="461">
      <c r="A461" s="24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6">
        <f>IF(COUNT(B461:M461)=0,"",SUM(B461:M461))</f>
        <v/>
      </c>
      <c r="O461" s="27">
        <f>IF(N461="","",IF(N461&lt;=0,"",N461/SUMIF($N$8:$N$507,"&gt;0")))</f>
        <v/>
      </c>
      <c r="P461" s="27">
        <f>IF(O461="","",SUMIF($N$8:$N$507,"&gt;="&amp;N461)/SUMIF($N$8:$N$507,"&gt;0"))</f>
        <v/>
      </c>
      <c r="Q461" s="28">
        <f>IF(O461="","",IF(SUMIF($N$8:$N$507,"&gt;"&amp;N461)/SUMIF($N$8:$N$507,"&gt;0")&lt;$B$6,"A",IF(SUMIF($N$8:$N$507,"&gt;"&amp;N461)/SUMIF($N$8:$N$507,"&gt;0")&lt;$D$6,"B","C")))</f>
        <v/>
      </c>
      <c r="R461" s="29">
        <f>IF(O461="","",IF(COUNT(B461:M461)&lt;3,"",STDEVP(B461:M461)/AVERAGE(B461:M461)))</f>
        <v/>
      </c>
      <c r="S461" s="28">
        <f>IF(R461="","",IF(R461&lt;=$G$6,"X",IF(R461&lt;=$I$6,"Y","Z")))</f>
        <v/>
      </c>
    </row>
    <row r="46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6">
        <f>IF(COUNT(B462:M462)=0,"",SUM(B462:M462))</f>
        <v/>
      </c>
      <c r="O462" s="27">
        <f>IF(N462="","",IF(N462&lt;=0,"",N462/SUMIF($N$8:$N$507,"&gt;0")))</f>
        <v/>
      </c>
      <c r="P462" s="27">
        <f>IF(O462="","",SUMIF($N$8:$N$507,"&gt;="&amp;N462)/SUMIF($N$8:$N$507,"&gt;0"))</f>
        <v/>
      </c>
      <c r="Q462" s="28">
        <f>IF(O462="","",IF(SUMIF($N$8:$N$507,"&gt;"&amp;N462)/SUMIF($N$8:$N$507,"&gt;0")&lt;$B$6,"A",IF(SUMIF($N$8:$N$507,"&gt;"&amp;N462)/SUMIF($N$8:$N$507,"&gt;0")&lt;$D$6,"B","C")))</f>
        <v/>
      </c>
      <c r="R462" s="29">
        <f>IF(O462="","",IF(COUNT(B462:M462)&lt;3,"",STDEVP(B462:M462)/AVERAGE(B462:M462)))</f>
        <v/>
      </c>
      <c r="S462" s="28">
        <f>IF(R462="","",IF(R462&lt;=$G$6,"X",IF(R462&lt;=$I$6,"Y","Z")))</f>
        <v/>
      </c>
    </row>
    <row r="463">
      <c r="A463" s="24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6">
        <f>IF(COUNT(B463:M463)=0,"",SUM(B463:M463))</f>
        <v/>
      </c>
      <c r="O463" s="27">
        <f>IF(N463="","",IF(N463&lt;=0,"",N463/SUMIF($N$8:$N$507,"&gt;0")))</f>
        <v/>
      </c>
      <c r="P463" s="27">
        <f>IF(O463="","",SUMIF($N$8:$N$507,"&gt;="&amp;N463)/SUMIF($N$8:$N$507,"&gt;0"))</f>
        <v/>
      </c>
      <c r="Q463" s="28">
        <f>IF(O463="","",IF(SUMIF($N$8:$N$507,"&gt;"&amp;N463)/SUMIF($N$8:$N$507,"&gt;0")&lt;$B$6,"A",IF(SUMIF($N$8:$N$507,"&gt;"&amp;N463)/SUMIF($N$8:$N$507,"&gt;0")&lt;$D$6,"B","C")))</f>
        <v/>
      </c>
      <c r="R463" s="29">
        <f>IF(O463="","",IF(COUNT(B463:M463)&lt;3,"",STDEVP(B463:M463)/AVERAGE(B463:M463)))</f>
        <v/>
      </c>
      <c r="S463" s="28">
        <f>IF(R463="","",IF(R463&lt;=$G$6,"X",IF(R463&lt;=$I$6,"Y","Z")))</f>
        <v/>
      </c>
    </row>
    <row r="464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6">
        <f>IF(COUNT(B464:M464)=0,"",SUM(B464:M464))</f>
        <v/>
      </c>
      <c r="O464" s="27">
        <f>IF(N464="","",IF(N464&lt;=0,"",N464/SUMIF($N$8:$N$507,"&gt;0")))</f>
        <v/>
      </c>
      <c r="P464" s="27">
        <f>IF(O464="","",SUMIF($N$8:$N$507,"&gt;="&amp;N464)/SUMIF($N$8:$N$507,"&gt;0"))</f>
        <v/>
      </c>
      <c r="Q464" s="28">
        <f>IF(O464="","",IF(SUMIF($N$8:$N$507,"&gt;"&amp;N464)/SUMIF($N$8:$N$507,"&gt;0")&lt;$B$6,"A",IF(SUMIF($N$8:$N$507,"&gt;"&amp;N464)/SUMIF($N$8:$N$507,"&gt;0")&lt;$D$6,"B","C")))</f>
        <v/>
      </c>
      <c r="R464" s="29">
        <f>IF(O464="","",IF(COUNT(B464:M464)&lt;3,"",STDEVP(B464:M464)/AVERAGE(B464:M464)))</f>
        <v/>
      </c>
      <c r="S464" s="28">
        <f>IF(R464="","",IF(R464&lt;=$G$6,"X",IF(R464&lt;=$I$6,"Y","Z")))</f>
        <v/>
      </c>
    </row>
    <row r="465">
      <c r="A465" s="24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6">
        <f>IF(COUNT(B465:M465)=0,"",SUM(B465:M465))</f>
        <v/>
      </c>
      <c r="O465" s="27">
        <f>IF(N465="","",IF(N465&lt;=0,"",N465/SUMIF($N$8:$N$507,"&gt;0")))</f>
        <v/>
      </c>
      <c r="P465" s="27">
        <f>IF(O465="","",SUMIF($N$8:$N$507,"&gt;="&amp;N465)/SUMIF($N$8:$N$507,"&gt;0"))</f>
        <v/>
      </c>
      <c r="Q465" s="28">
        <f>IF(O465="","",IF(SUMIF($N$8:$N$507,"&gt;"&amp;N465)/SUMIF($N$8:$N$507,"&gt;0")&lt;$B$6,"A",IF(SUMIF($N$8:$N$507,"&gt;"&amp;N465)/SUMIF($N$8:$N$507,"&gt;0")&lt;$D$6,"B","C")))</f>
        <v/>
      </c>
      <c r="R465" s="29">
        <f>IF(O465="","",IF(COUNT(B465:M465)&lt;3,"",STDEVP(B465:M465)/AVERAGE(B465:M465)))</f>
        <v/>
      </c>
      <c r="S465" s="28">
        <f>IF(R465="","",IF(R465&lt;=$G$6,"X",IF(R465&lt;=$I$6,"Y","Z")))</f>
        <v/>
      </c>
    </row>
    <row r="466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6">
        <f>IF(COUNT(B466:M466)=0,"",SUM(B466:M466))</f>
        <v/>
      </c>
      <c r="O466" s="27">
        <f>IF(N466="","",IF(N466&lt;=0,"",N466/SUMIF($N$8:$N$507,"&gt;0")))</f>
        <v/>
      </c>
      <c r="P466" s="27">
        <f>IF(O466="","",SUMIF($N$8:$N$507,"&gt;="&amp;N466)/SUMIF($N$8:$N$507,"&gt;0"))</f>
        <v/>
      </c>
      <c r="Q466" s="28">
        <f>IF(O466="","",IF(SUMIF($N$8:$N$507,"&gt;"&amp;N466)/SUMIF($N$8:$N$507,"&gt;0")&lt;$B$6,"A",IF(SUMIF($N$8:$N$507,"&gt;"&amp;N466)/SUMIF($N$8:$N$507,"&gt;0")&lt;$D$6,"B","C")))</f>
        <v/>
      </c>
      <c r="R466" s="29">
        <f>IF(O466="","",IF(COUNT(B466:M466)&lt;3,"",STDEVP(B466:M466)/AVERAGE(B466:M466)))</f>
        <v/>
      </c>
      <c r="S466" s="28">
        <f>IF(R466="","",IF(R466&lt;=$G$6,"X",IF(R466&lt;=$I$6,"Y","Z")))</f>
        <v/>
      </c>
    </row>
    <row r="467">
      <c r="A467" s="24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6">
        <f>IF(COUNT(B467:M467)=0,"",SUM(B467:M467))</f>
        <v/>
      </c>
      <c r="O467" s="27">
        <f>IF(N467="","",IF(N467&lt;=0,"",N467/SUMIF($N$8:$N$507,"&gt;0")))</f>
        <v/>
      </c>
      <c r="P467" s="27">
        <f>IF(O467="","",SUMIF($N$8:$N$507,"&gt;="&amp;N467)/SUMIF($N$8:$N$507,"&gt;0"))</f>
        <v/>
      </c>
      <c r="Q467" s="28">
        <f>IF(O467="","",IF(SUMIF($N$8:$N$507,"&gt;"&amp;N467)/SUMIF($N$8:$N$507,"&gt;0")&lt;$B$6,"A",IF(SUMIF($N$8:$N$507,"&gt;"&amp;N467)/SUMIF($N$8:$N$507,"&gt;0")&lt;$D$6,"B","C")))</f>
        <v/>
      </c>
      <c r="R467" s="29">
        <f>IF(O467="","",IF(COUNT(B467:M467)&lt;3,"",STDEVP(B467:M467)/AVERAGE(B467:M467)))</f>
        <v/>
      </c>
      <c r="S467" s="28">
        <f>IF(R467="","",IF(R467&lt;=$G$6,"X",IF(R467&lt;=$I$6,"Y","Z")))</f>
        <v/>
      </c>
    </row>
    <row r="468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6">
        <f>IF(COUNT(B468:M468)=0,"",SUM(B468:M468))</f>
        <v/>
      </c>
      <c r="O468" s="27">
        <f>IF(N468="","",IF(N468&lt;=0,"",N468/SUMIF($N$8:$N$507,"&gt;0")))</f>
        <v/>
      </c>
      <c r="P468" s="27">
        <f>IF(O468="","",SUMIF($N$8:$N$507,"&gt;="&amp;N468)/SUMIF($N$8:$N$507,"&gt;0"))</f>
        <v/>
      </c>
      <c r="Q468" s="28">
        <f>IF(O468="","",IF(SUMIF($N$8:$N$507,"&gt;"&amp;N468)/SUMIF($N$8:$N$507,"&gt;0")&lt;$B$6,"A",IF(SUMIF($N$8:$N$507,"&gt;"&amp;N468)/SUMIF($N$8:$N$507,"&gt;0")&lt;$D$6,"B","C")))</f>
        <v/>
      </c>
      <c r="R468" s="29">
        <f>IF(O468="","",IF(COUNT(B468:M468)&lt;3,"",STDEVP(B468:M468)/AVERAGE(B468:M468)))</f>
        <v/>
      </c>
      <c r="S468" s="28">
        <f>IF(R468="","",IF(R468&lt;=$G$6,"X",IF(R468&lt;=$I$6,"Y","Z")))</f>
        <v/>
      </c>
    </row>
    <row r="469">
      <c r="A469" s="24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6">
        <f>IF(COUNT(B469:M469)=0,"",SUM(B469:M469))</f>
        <v/>
      </c>
      <c r="O469" s="27">
        <f>IF(N469="","",IF(N469&lt;=0,"",N469/SUMIF($N$8:$N$507,"&gt;0")))</f>
        <v/>
      </c>
      <c r="P469" s="27">
        <f>IF(O469="","",SUMIF($N$8:$N$507,"&gt;="&amp;N469)/SUMIF($N$8:$N$507,"&gt;0"))</f>
        <v/>
      </c>
      <c r="Q469" s="28">
        <f>IF(O469="","",IF(SUMIF($N$8:$N$507,"&gt;"&amp;N469)/SUMIF($N$8:$N$507,"&gt;0")&lt;$B$6,"A",IF(SUMIF($N$8:$N$507,"&gt;"&amp;N469)/SUMIF($N$8:$N$507,"&gt;0")&lt;$D$6,"B","C")))</f>
        <v/>
      </c>
      <c r="R469" s="29">
        <f>IF(O469="","",IF(COUNT(B469:M469)&lt;3,"",STDEVP(B469:M469)/AVERAGE(B469:M469)))</f>
        <v/>
      </c>
      <c r="S469" s="28">
        <f>IF(R469="","",IF(R469&lt;=$G$6,"X",IF(R469&lt;=$I$6,"Y","Z")))</f>
        <v/>
      </c>
    </row>
    <row r="470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6">
        <f>IF(COUNT(B470:M470)=0,"",SUM(B470:M470))</f>
        <v/>
      </c>
      <c r="O470" s="27">
        <f>IF(N470="","",IF(N470&lt;=0,"",N470/SUMIF($N$8:$N$507,"&gt;0")))</f>
        <v/>
      </c>
      <c r="P470" s="27">
        <f>IF(O470="","",SUMIF($N$8:$N$507,"&gt;="&amp;N470)/SUMIF($N$8:$N$507,"&gt;0"))</f>
        <v/>
      </c>
      <c r="Q470" s="28">
        <f>IF(O470="","",IF(SUMIF($N$8:$N$507,"&gt;"&amp;N470)/SUMIF($N$8:$N$507,"&gt;0")&lt;$B$6,"A",IF(SUMIF($N$8:$N$507,"&gt;"&amp;N470)/SUMIF($N$8:$N$507,"&gt;0")&lt;$D$6,"B","C")))</f>
        <v/>
      </c>
      <c r="R470" s="29">
        <f>IF(O470="","",IF(COUNT(B470:M470)&lt;3,"",STDEVP(B470:M470)/AVERAGE(B470:M470)))</f>
        <v/>
      </c>
      <c r="S470" s="28">
        <f>IF(R470="","",IF(R470&lt;=$G$6,"X",IF(R470&lt;=$I$6,"Y","Z")))</f>
        <v/>
      </c>
    </row>
    <row r="471">
      <c r="A471" s="24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6">
        <f>IF(COUNT(B471:M471)=0,"",SUM(B471:M471))</f>
        <v/>
      </c>
      <c r="O471" s="27">
        <f>IF(N471="","",IF(N471&lt;=0,"",N471/SUMIF($N$8:$N$507,"&gt;0")))</f>
        <v/>
      </c>
      <c r="P471" s="27">
        <f>IF(O471="","",SUMIF($N$8:$N$507,"&gt;="&amp;N471)/SUMIF($N$8:$N$507,"&gt;0"))</f>
        <v/>
      </c>
      <c r="Q471" s="28">
        <f>IF(O471="","",IF(SUMIF($N$8:$N$507,"&gt;"&amp;N471)/SUMIF($N$8:$N$507,"&gt;0")&lt;$B$6,"A",IF(SUMIF($N$8:$N$507,"&gt;"&amp;N471)/SUMIF($N$8:$N$507,"&gt;0")&lt;$D$6,"B","C")))</f>
        <v/>
      </c>
      <c r="R471" s="29">
        <f>IF(O471="","",IF(COUNT(B471:M471)&lt;3,"",STDEVP(B471:M471)/AVERAGE(B471:M471)))</f>
        <v/>
      </c>
      <c r="S471" s="28">
        <f>IF(R471="","",IF(R471&lt;=$G$6,"X",IF(R471&lt;=$I$6,"Y","Z")))</f>
        <v/>
      </c>
    </row>
    <row r="47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6">
        <f>IF(COUNT(B472:M472)=0,"",SUM(B472:M472))</f>
        <v/>
      </c>
      <c r="O472" s="27">
        <f>IF(N472="","",IF(N472&lt;=0,"",N472/SUMIF($N$8:$N$507,"&gt;0")))</f>
        <v/>
      </c>
      <c r="P472" s="27">
        <f>IF(O472="","",SUMIF($N$8:$N$507,"&gt;="&amp;N472)/SUMIF($N$8:$N$507,"&gt;0"))</f>
        <v/>
      </c>
      <c r="Q472" s="28">
        <f>IF(O472="","",IF(SUMIF($N$8:$N$507,"&gt;"&amp;N472)/SUMIF($N$8:$N$507,"&gt;0")&lt;$B$6,"A",IF(SUMIF($N$8:$N$507,"&gt;"&amp;N472)/SUMIF($N$8:$N$507,"&gt;0")&lt;$D$6,"B","C")))</f>
        <v/>
      </c>
      <c r="R472" s="29">
        <f>IF(O472="","",IF(COUNT(B472:M472)&lt;3,"",STDEVP(B472:M472)/AVERAGE(B472:M472)))</f>
        <v/>
      </c>
      <c r="S472" s="28">
        <f>IF(R472="","",IF(R472&lt;=$G$6,"X",IF(R472&lt;=$I$6,"Y","Z")))</f>
        <v/>
      </c>
    </row>
    <row r="473">
      <c r="A473" s="24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6">
        <f>IF(COUNT(B473:M473)=0,"",SUM(B473:M473))</f>
        <v/>
      </c>
      <c r="O473" s="27">
        <f>IF(N473="","",IF(N473&lt;=0,"",N473/SUMIF($N$8:$N$507,"&gt;0")))</f>
        <v/>
      </c>
      <c r="P473" s="27">
        <f>IF(O473="","",SUMIF($N$8:$N$507,"&gt;="&amp;N473)/SUMIF($N$8:$N$507,"&gt;0"))</f>
        <v/>
      </c>
      <c r="Q473" s="28">
        <f>IF(O473="","",IF(SUMIF($N$8:$N$507,"&gt;"&amp;N473)/SUMIF($N$8:$N$507,"&gt;0")&lt;$B$6,"A",IF(SUMIF($N$8:$N$507,"&gt;"&amp;N473)/SUMIF($N$8:$N$507,"&gt;0")&lt;$D$6,"B","C")))</f>
        <v/>
      </c>
      <c r="R473" s="29">
        <f>IF(O473="","",IF(COUNT(B473:M473)&lt;3,"",STDEVP(B473:M473)/AVERAGE(B473:M473)))</f>
        <v/>
      </c>
      <c r="S473" s="28">
        <f>IF(R473="","",IF(R473&lt;=$G$6,"X",IF(R473&lt;=$I$6,"Y","Z")))</f>
        <v/>
      </c>
    </row>
    <row r="474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6">
        <f>IF(COUNT(B474:M474)=0,"",SUM(B474:M474))</f>
        <v/>
      </c>
      <c r="O474" s="27">
        <f>IF(N474="","",IF(N474&lt;=0,"",N474/SUMIF($N$8:$N$507,"&gt;0")))</f>
        <v/>
      </c>
      <c r="P474" s="27">
        <f>IF(O474="","",SUMIF($N$8:$N$507,"&gt;="&amp;N474)/SUMIF($N$8:$N$507,"&gt;0"))</f>
        <v/>
      </c>
      <c r="Q474" s="28">
        <f>IF(O474="","",IF(SUMIF($N$8:$N$507,"&gt;"&amp;N474)/SUMIF($N$8:$N$507,"&gt;0")&lt;$B$6,"A",IF(SUMIF($N$8:$N$507,"&gt;"&amp;N474)/SUMIF($N$8:$N$507,"&gt;0")&lt;$D$6,"B","C")))</f>
        <v/>
      </c>
      <c r="R474" s="29">
        <f>IF(O474="","",IF(COUNT(B474:M474)&lt;3,"",STDEVP(B474:M474)/AVERAGE(B474:M474)))</f>
        <v/>
      </c>
      <c r="S474" s="28">
        <f>IF(R474="","",IF(R474&lt;=$G$6,"X",IF(R474&lt;=$I$6,"Y","Z")))</f>
        <v/>
      </c>
    </row>
    <row r="475">
      <c r="A475" s="24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6">
        <f>IF(COUNT(B475:M475)=0,"",SUM(B475:M475))</f>
        <v/>
      </c>
      <c r="O475" s="27">
        <f>IF(N475="","",IF(N475&lt;=0,"",N475/SUMIF($N$8:$N$507,"&gt;0")))</f>
        <v/>
      </c>
      <c r="P475" s="27">
        <f>IF(O475="","",SUMIF($N$8:$N$507,"&gt;="&amp;N475)/SUMIF($N$8:$N$507,"&gt;0"))</f>
        <v/>
      </c>
      <c r="Q475" s="28">
        <f>IF(O475="","",IF(SUMIF($N$8:$N$507,"&gt;"&amp;N475)/SUMIF($N$8:$N$507,"&gt;0")&lt;$B$6,"A",IF(SUMIF($N$8:$N$507,"&gt;"&amp;N475)/SUMIF($N$8:$N$507,"&gt;0")&lt;$D$6,"B","C")))</f>
        <v/>
      </c>
      <c r="R475" s="29">
        <f>IF(O475="","",IF(COUNT(B475:M475)&lt;3,"",STDEVP(B475:M475)/AVERAGE(B475:M475)))</f>
        <v/>
      </c>
      <c r="S475" s="28">
        <f>IF(R475="","",IF(R475&lt;=$G$6,"X",IF(R475&lt;=$I$6,"Y","Z")))</f>
        <v/>
      </c>
    </row>
    <row r="476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6">
        <f>IF(COUNT(B476:M476)=0,"",SUM(B476:M476))</f>
        <v/>
      </c>
      <c r="O476" s="27">
        <f>IF(N476="","",IF(N476&lt;=0,"",N476/SUMIF($N$8:$N$507,"&gt;0")))</f>
        <v/>
      </c>
      <c r="P476" s="27">
        <f>IF(O476="","",SUMIF($N$8:$N$507,"&gt;="&amp;N476)/SUMIF($N$8:$N$507,"&gt;0"))</f>
        <v/>
      </c>
      <c r="Q476" s="28">
        <f>IF(O476="","",IF(SUMIF($N$8:$N$507,"&gt;"&amp;N476)/SUMIF($N$8:$N$507,"&gt;0")&lt;$B$6,"A",IF(SUMIF($N$8:$N$507,"&gt;"&amp;N476)/SUMIF($N$8:$N$507,"&gt;0")&lt;$D$6,"B","C")))</f>
        <v/>
      </c>
      <c r="R476" s="29">
        <f>IF(O476="","",IF(COUNT(B476:M476)&lt;3,"",STDEVP(B476:M476)/AVERAGE(B476:M476)))</f>
        <v/>
      </c>
      <c r="S476" s="28">
        <f>IF(R476="","",IF(R476&lt;=$G$6,"X",IF(R476&lt;=$I$6,"Y","Z")))</f>
        <v/>
      </c>
    </row>
    <row r="477">
      <c r="A477" s="24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6">
        <f>IF(COUNT(B477:M477)=0,"",SUM(B477:M477))</f>
        <v/>
      </c>
      <c r="O477" s="27">
        <f>IF(N477="","",IF(N477&lt;=0,"",N477/SUMIF($N$8:$N$507,"&gt;0")))</f>
        <v/>
      </c>
      <c r="P477" s="27">
        <f>IF(O477="","",SUMIF($N$8:$N$507,"&gt;="&amp;N477)/SUMIF($N$8:$N$507,"&gt;0"))</f>
        <v/>
      </c>
      <c r="Q477" s="28">
        <f>IF(O477="","",IF(SUMIF($N$8:$N$507,"&gt;"&amp;N477)/SUMIF($N$8:$N$507,"&gt;0")&lt;$B$6,"A",IF(SUMIF($N$8:$N$507,"&gt;"&amp;N477)/SUMIF($N$8:$N$507,"&gt;0")&lt;$D$6,"B","C")))</f>
        <v/>
      </c>
      <c r="R477" s="29">
        <f>IF(O477="","",IF(COUNT(B477:M477)&lt;3,"",STDEVP(B477:M477)/AVERAGE(B477:M477)))</f>
        <v/>
      </c>
      <c r="S477" s="28">
        <f>IF(R477="","",IF(R477&lt;=$G$6,"X",IF(R477&lt;=$I$6,"Y","Z")))</f>
        <v/>
      </c>
    </row>
    <row r="478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6">
        <f>IF(COUNT(B478:M478)=0,"",SUM(B478:M478))</f>
        <v/>
      </c>
      <c r="O478" s="27">
        <f>IF(N478="","",IF(N478&lt;=0,"",N478/SUMIF($N$8:$N$507,"&gt;0")))</f>
        <v/>
      </c>
      <c r="P478" s="27">
        <f>IF(O478="","",SUMIF($N$8:$N$507,"&gt;="&amp;N478)/SUMIF($N$8:$N$507,"&gt;0"))</f>
        <v/>
      </c>
      <c r="Q478" s="28">
        <f>IF(O478="","",IF(SUMIF($N$8:$N$507,"&gt;"&amp;N478)/SUMIF($N$8:$N$507,"&gt;0")&lt;$B$6,"A",IF(SUMIF($N$8:$N$507,"&gt;"&amp;N478)/SUMIF($N$8:$N$507,"&gt;0")&lt;$D$6,"B","C")))</f>
        <v/>
      </c>
      <c r="R478" s="29">
        <f>IF(O478="","",IF(COUNT(B478:M478)&lt;3,"",STDEVP(B478:M478)/AVERAGE(B478:M478)))</f>
        <v/>
      </c>
      <c r="S478" s="28">
        <f>IF(R478="","",IF(R478&lt;=$G$6,"X",IF(R478&lt;=$I$6,"Y","Z")))</f>
        <v/>
      </c>
    </row>
    <row r="479">
      <c r="A479" s="24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6">
        <f>IF(COUNT(B479:M479)=0,"",SUM(B479:M479))</f>
        <v/>
      </c>
      <c r="O479" s="27">
        <f>IF(N479="","",IF(N479&lt;=0,"",N479/SUMIF($N$8:$N$507,"&gt;0")))</f>
        <v/>
      </c>
      <c r="P479" s="27">
        <f>IF(O479="","",SUMIF($N$8:$N$507,"&gt;="&amp;N479)/SUMIF($N$8:$N$507,"&gt;0"))</f>
        <v/>
      </c>
      <c r="Q479" s="28">
        <f>IF(O479="","",IF(SUMIF($N$8:$N$507,"&gt;"&amp;N479)/SUMIF($N$8:$N$507,"&gt;0")&lt;$B$6,"A",IF(SUMIF($N$8:$N$507,"&gt;"&amp;N479)/SUMIF($N$8:$N$507,"&gt;0")&lt;$D$6,"B","C")))</f>
        <v/>
      </c>
      <c r="R479" s="29">
        <f>IF(O479="","",IF(COUNT(B479:M479)&lt;3,"",STDEVP(B479:M479)/AVERAGE(B479:M479)))</f>
        <v/>
      </c>
      <c r="S479" s="28">
        <f>IF(R479="","",IF(R479&lt;=$G$6,"X",IF(R479&lt;=$I$6,"Y","Z")))</f>
        <v/>
      </c>
    </row>
    <row r="480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6">
        <f>IF(COUNT(B480:M480)=0,"",SUM(B480:M480))</f>
        <v/>
      </c>
      <c r="O480" s="27">
        <f>IF(N480="","",IF(N480&lt;=0,"",N480/SUMIF($N$8:$N$507,"&gt;0")))</f>
        <v/>
      </c>
      <c r="P480" s="27">
        <f>IF(O480="","",SUMIF($N$8:$N$507,"&gt;="&amp;N480)/SUMIF($N$8:$N$507,"&gt;0"))</f>
        <v/>
      </c>
      <c r="Q480" s="28">
        <f>IF(O480="","",IF(SUMIF($N$8:$N$507,"&gt;"&amp;N480)/SUMIF($N$8:$N$507,"&gt;0")&lt;$B$6,"A",IF(SUMIF($N$8:$N$507,"&gt;"&amp;N480)/SUMIF($N$8:$N$507,"&gt;0")&lt;$D$6,"B","C")))</f>
        <v/>
      </c>
      <c r="R480" s="29">
        <f>IF(O480="","",IF(COUNT(B480:M480)&lt;3,"",STDEVP(B480:M480)/AVERAGE(B480:M480)))</f>
        <v/>
      </c>
      <c r="S480" s="28">
        <f>IF(R480="","",IF(R480&lt;=$G$6,"X",IF(R480&lt;=$I$6,"Y","Z")))</f>
        <v/>
      </c>
    </row>
    <row r="481">
      <c r="A481" s="24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6">
        <f>IF(COUNT(B481:M481)=0,"",SUM(B481:M481))</f>
        <v/>
      </c>
      <c r="O481" s="27">
        <f>IF(N481="","",IF(N481&lt;=0,"",N481/SUMIF($N$8:$N$507,"&gt;0")))</f>
        <v/>
      </c>
      <c r="P481" s="27">
        <f>IF(O481="","",SUMIF($N$8:$N$507,"&gt;="&amp;N481)/SUMIF($N$8:$N$507,"&gt;0"))</f>
        <v/>
      </c>
      <c r="Q481" s="28">
        <f>IF(O481="","",IF(SUMIF($N$8:$N$507,"&gt;"&amp;N481)/SUMIF($N$8:$N$507,"&gt;0")&lt;$B$6,"A",IF(SUMIF($N$8:$N$507,"&gt;"&amp;N481)/SUMIF($N$8:$N$507,"&gt;0")&lt;$D$6,"B","C")))</f>
        <v/>
      </c>
      <c r="R481" s="29">
        <f>IF(O481="","",IF(COUNT(B481:M481)&lt;3,"",STDEVP(B481:M481)/AVERAGE(B481:M481)))</f>
        <v/>
      </c>
      <c r="S481" s="28">
        <f>IF(R481="","",IF(R481&lt;=$G$6,"X",IF(R481&lt;=$I$6,"Y","Z")))</f>
        <v/>
      </c>
    </row>
    <row r="48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6">
        <f>IF(COUNT(B482:M482)=0,"",SUM(B482:M482))</f>
        <v/>
      </c>
      <c r="O482" s="27">
        <f>IF(N482="","",IF(N482&lt;=0,"",N482/SUMIF($N$8:$N$507,"&gt;0")))</f>
        <v/>
      </c>
      <c r="P482" s="27">
        <f>IF(O482="","",SUMIF($N$8:$N$507,"&gt;="&amp;N482)/SUMIF($N$8:$N$507,"&gt;0"))</f>
        <v/>
      </c>
      <c r="Q482" s="28">
        <f>IF(O482="","",IF(SUMIF($N$8:$N$507,"&gt;"&amp;N482)/SUMIF($N$8:$N$507,"&gt;0")&lt;$B$6,"A",IF(SUMIF($N$8:$N$507,"&gt;"&amp;N482)/SUMIF($N$8:$N$507,"&gt;0")&lt;$D$6,"B","C")))</f>
        <v/>
      </c>
      <c r="R482" s="29">
        <f>IF(O482="","",IF(COUNT(B482:M482)&lt;3,"",STDEVP(B482:M482)/AVERAGE(B482:M482)))</f>
        <v/>
      </c>
      <c r="S482" s="28">
        <f>IF(R482="","",IF(R482&lt;=$G$6,"X",IF(R482&lt;=$I$6,"Y","Z")))</f>
        <v/>
      </c>
    </row>
    <row r="483">
      <c r="A483" s="24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6">
        <f>IF(COUNT(B483:M483)=0,"",SUM(B483:M483))</f>
        <v/>
      </c>
      <c r="O483" s="27">
        <f>IF(N483="","",IF(N483&lt;=0,"",N483/SUMIF($N$8:$N$507,"&gt;0")))</f>
        <v/>
      </c>
      <c r="P483" s="27">
        <f>IF(O483="","",SUMIF($N$8:$N$507,"&gt;="&amp;N483)/SUMIF($N$8:$N$507,"&gt;0"))</f>
        <v/>
      </c>
      <c r="Q483" s="28">
        <f>IF(O483="","",IF(SUMIF($N$8:$N$507,"&gt;"&amp;N483)/SUMIF($N$8:$N$507,"&gt;0")&lt;$B$6,"A",IF(SUMIF($N$8:$N$507,"&gt;"&amp;N483)/SUMIF($N$8:$N$507,"&gt;0")&lt;$D$6,"B","C")))</f>
        <v/>
      </c>
      <c r="R483" s="29">
        <f>IF(O483="","",IF(COUNT(B483:M483)&lt;3,"",STDEVP(B483:M483)/AVERAGE(B483:M483)))</f>
        <v/>
      </c>
      <c r="S483" s="28">
        <f>IF(R483="","",IF(R483&lt;=$G$6,"X",IF(R483&lt;=$I$6,"Y","Z")))</f>
        <v/>
      </c>
    </row>
    <row r="484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6">
        <f>IF(COUNT(B484:M484)=0,"",SUM(B484:M484))</f>
        <v/>
      </c>
      <c r="O484" s="27">
        <f>IF(N484="","",IF(N484&lt;=0,"",N484/SUMIF($N$8:$N$507,"&gt;0")))</f>
        <v/>
      </c>
      <c r="P484" s="27">
        <f>IF(O484="","",SUMIF($N$8:$N$507,"&gt;="&amp;N484)/SUMIF($N$8:$N$507,"&gt;0"))</f>
        <v/>
      </c>
      <c r="Q484" s="28">
        <f>IF(O484="","",IF(SUMIF($N$8:$N$507,"&gt;"&amp;N484)/SUMIF($N$8:$N$507,"&gt;0")&lt;$B$6,"A",IF(SUMIF($N$8:$N$507,"&gt;"&amp;N484)/SUMIF($N$8:$N$507,"&gt;0")&lt;$D$6,"B","C")))</f>
        <v/>
      </c>
      <c r="R484" s="29">
        <f>IF(O484="","",IF(COUNT(B484:M484)&lt;3,"",STDEVP(B484:M484)/AVERAGE(B484:M484)))</f>
        <v/>
      </c>
      <c r="S484" s="28">
        <f>IF(R484="","",IF(R484&lt;=$G$6,"X",IF(R484&lt;=$I$6,"Y","Z")))</f>
        <v/>
      </c>
    </row>
    <row r="485">
      <c r="A485" s="24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6">
        <f>IF(COUNT(B485:M485)=0,"",SUM(B485:M485))</f>
        <v/>
      </c>
      <c r="O485" s="27">
        <f>IF(N485="","",IF(N485&lt;=0,"",N485/SUMIF($N$8:$N$507,"&gt;0")))</f>
        <v/>
      </c>
      <c r="P485" s="27">
        <f>IF(O485="","",SUMIF($N$8:$N$507,"&gt;="&amp;N485)/SUMIF($N$8:$N$507,"&gt;0"))</f>
        <v/>
      </c>
      <c r="Q485" s="28">
        <f>IF(O485="","",IF(SUMIF($N$8:$N$507,"&gt;"&amp;N485)/SUMIF($N$8:$N$507,"&gt;0")&lt;$B$6,"A",IF(SUMIF($N$8:$N$507,"&gt;"&amp;N485)/SUMIF($N$8:$N$507,"&gt;0")&lt;$D$6,"B","C")))</f>
        <v/>
      </c>
      <c r="R485" s="29">
        <f>IF(O485="","",IF(COUNT(B485:M485)&lt;3,"",STDEVP(B485:M485)/AVERAGE(B485:M485)))</f>
        <v/>
      </c>
      <c r="S485" s="28">
        <f>IF(R485="","",IF(R485&lt;=$G$6,"X",IF(R485&lt;=$I$6,"Y","Z")))</f>
        <v/>
      </c>
    </row>
    <row r="486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6">
        <f>IF(COUNT(B486:M486)=0,"",SUM(B486:M486))</f>
        <v/>
      </c>
      <c r="O486" s="27">
        <f>IF(N486="","",IF(N486&lt;=0,"",N486/SUMIF($N$8:$N$507,"&gt;0")))</f>
        <v/>
      </c>
      <c r="P486" s="27">
        <f>IF(O486="","",SUMIF($N$8:$N$507,"&gt;="&amp;N486)/SUMIF($N$8:$N$507,"&gt;0"))</f>
        <v/>
      </c>
      <c r="Q486" s="28">
        <f>IF(O486="","",IF(SUMIF($N$8:$N$507,"&gt;"&amp;N486)/SUMIF($N$8:$N$507,"&gt;0")&lt;$B$6,"A",IF(SUMIF($N$8:$N$507,"&gt;"&amp;N486)/SUMIF($N$8:$N$507,"&gt;0")&lt;$D$6,"B","C")))</f>
        <v/>
      </c>
      <c r="R486" s="29">
        <f>IF(O486="","",IF(COUNT(B486:M486)&lt;3,"",STDEVP(B486:M486)/AVERAGE(B486:M486)))</f>
        <v/>
      </c>
      <c r="S486" s="28">
        <f>IF(R486="","",IF(R486&lt;=$G$6,"X",IF(R486&lt;=$I$6,"Y","Z")))</f>
        <v/>
      </c>
    </row>
    <row r="487">
      <c r="A487" s="24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6">
        <f>IF(COUNT(B487:M487)=0,"",SUM(B487:M487))</f>
        <v/>
      </c>
      <c r="O487" s="27">
        <f>IF(N487="","",IF(N487&lt;=0,"",N487/SUMIF($N$8:$N$507,"&gt;0")))</f>
        <v/>
      </c>
      <c r="P487" s="27">
        <f>IF(O487="","",SUMIF($N$8:$N$507,"&gt;="&amp;N487)/SUMIF($N$8:$N$507,"&gt;0"))</f>
        <v/>
      </c>
      <c r="Q487" s="28">
        <f>IF(O487="","",IF(SUMIF($N$8:$N$507,"&gt;"&amp;N487)/SUMIF($N$8:$N$507,"&gt;0")&lt;$B$6,"A",IF(SUMIF($N$8:$N$507,"&gt;"&amp;N487)/SUMIF($N$8:$N$507,"&gt;0")&lt;$D$6,"B","C")))</f>
        <v/>
      </c>
      <c r="R487" s="29">
        <f>IF(O487="","",IF(COUNT(B487:M487)&lt;3,"",STDEVP(B487:M487)/AVERAGE(B487:M487)))</f>
        <v/>
      </c>
      <c r="S487" s="28">
        <f>IF(R487="","",IF(R487&lt;=$G$6,"X",IF(R487&lt;=$I$6,"Y","Z")))</f>
        <v/>
      </c>
    </row>
    <row r="488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6">
        <f>IF(COUNT(B488:M488)=0,"",SUM(B488:M488))</f>
        <v/>
      </c>
      <c r="O488" s="27">
        <f>IF(N488="","",IF(N488&lt;=0,"",N488/SUMIF($N$8:$N$507,"&gt;0")))</f>
        <v/>
      </c>
      <c r="P488" s="27">
        <f>IF(O488="","",SUMIF($N$8:$N$507,"&gt;="&amp;N488)/SUMIF($N$8:$N$507,"&gt;0"))</f>
        <v/>
      </c>
      <c r="Q488" s="28">
        <f>IF(O488="","",IF(SUMIF($N$8:$N$507,"&gt;"&amp;N488)/SUMIF($N$8:$N$507,"&gt;0")&lt;$B$6,"A",IF(SUMIF($N$8:$N$507,"&gt;"&amp;N488)/SUMIF($N$8:$N$507,"&gt;0")&lt;$D$6,"B","C")))</f>
        <v/>
      </c>
      <c r="R488" s="29">
        <f>IF(O488="","",IF(COUNT(B488:M488)&lt;3,"",STDEVP(B488:M488)/AVERAGE(B488:M488)))</f>
        <v/>
      </c>
      <c r="S488" s="28">
        <f>IF(R488="","",IF(R488&lt;=$G$6,"X",IF(R488&lt;=$I$6,"Y","Z")))</f>
        <v/>
      </c>
    </row>
    <row r="489">
      <c r="A489" s="24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6">
        <f>IF(COUNT(B489:M489)=0,"",SUM(B489:M489))</f>
        <v/>
      </c>
      <c r="O489" s="27">
        <f>IF(N489="","",IF(N489&lt;=0,"",N489/SUMIF($N$8:$N$507,"&gt;0")))</f>
        <v/>
      </c>
      <c r="P489" s="27">
        <f>IF(O489="","",SUMIF($N$8:$N$507,"&gt;="&amp;N489)/SUMIF($N$8:$N$507,"&gt;0"))</f>
        <v/>
      </c>
      <c r="Q489" s="28">
        <f>IF(O489="","",IF(SUMIF($N$8:$N$507,"&gt;"&amp;N489)/SUMIF($N$8:$N$507,"&gt;0")&lt;$B$6,"A",IF(SUMIF($N$8:$N$507,"&gt;"&amp;N489)/SUMIF($N$8:$N$507,"&gt;0")&lt;$D$6,"B","C")))</f>
        <v/>
      </c>
      <c r="R489" s="29">
        <f>IF(O489="","",IF(COUNT(B489:M489)&lt;3,"",STDEVP(B489:M489)/AVERAGE(B489:M489)))</f>
        <v/>
      </c>
      <c r="S489" s="28">
        <f>IF(R489="","",IF(R489&lt;=$G$6,"X",IF(R489&lt;=$I$6,"Y","Z")))</f>
        <v/>
      </c>
    </row>
    <row r="490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6">
        <f>IF(COUNT(B490:M490)=0,"",SUM(B490:M490))</f>
        <v/>
      </c>
      <c r="O490" s="27">
        <f>IF(N490="","",IF(N490&lt;=0,"",N490/SUMIF($N$8:$N$507,"&gt;0")))</f>
        <v/>
      </c>
      <c r="P490" s="27">
        <f>IF(O490="","",SUMIF($N$8:$N$507,"&gt;="&amp;N490)/SUMIF($N$8:$N$507,"&gt;0"))</f>
        <v/>
      </c>
      <c r="Q490" s="28">
        <f>IF(O490="","",IF(SUMIF($N$8:$N$507,"&gt;"&amp;N490)/SUMIF($N$8:$N$507,"&gt;0")&lt;$B$6,"A",IF(SUMIF($N$8:$N$507,"&gt;"&amp;N490)/SUMIF($N$8:$N$507,"&gt;0")&lt;$D$6,"B","C")))</f>
        <v/>
      </c>
      <c r="R490" s="29">
        <f>IF(O490="","",IF(COUNT(B490:M490)&lt;3,"",STDEVP(B490:M490)/AVERAGE(B490:M490)))</f>
        <v/>
      </c>
      <c r="S490" s="28">
        <f>IF(R490="","",IF(R490&lt;=$G$6,"X",IF(R490&lt;=$I$6,"Y","Z")))</f>
        <v/>
      </c>
    </row>
    <row r="491">
      <c r="A491" s="24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6">
        <f>IF(COUNT(B491:M491)=0,"",SUM(B491:M491))</f>
        <v/>
      </c>
      <c r="O491" s="27">
        <f>IF(N491="","",IF(N491&lt;=0,"",N491/SUMIF($N$8:$N$507,"&gt;0")))</f>
        <v/>
      </c>
      <c r="P491" s="27">
        <f>IF(O491="","",SUMIF($N$8:$N$507,"&gt;="&amp;N491)/SUMIF($N$8:$N$507,"&gt;0"))</f>
        <v/>
      </c>
      <c r="Q491" s="28">
        <f>IF(O491="","",IF(SUMIF($N$8:$N$507,"&gt;"&amp;N491)/SUMIF($N$8:$N$507,"&gt;0")&lt;$B$6,"A",IF(SUMIF($N$8:$N$507,"&gt;"&amp;N491)/SUMIF($N$8:$N$507,"&gt;0")&lt;$D$6,"B","C")))</f>
        <v/>
      </c>
      <c r="R491" s="29">
        <f>IF(O491="","",IF(COUNT(B491:M491)&lt;3,"",STDEVP(B491:M491)/AVERAGE(B491:M491)))</f>
        <v/>
      </c>
      <c r="S491" s="28">
        <f>IF(R491="","",IF(R491&lt;=$G$6,"X",IF(R491&lt;=$I$6,"Y","Z")))</f>
        <v/>
      </c>
    </row>
    <row r="49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6">
        <f>IF(COUNT(B492:M492)=0,"",SUM(B492:M492))</f>
        <v/>
      </c>
      <c r="O492" s="27">
        <f>IF(N492="","",IF(N492&lt;=0,"",N492/SUMIF($N$8:$N$507,"&gt;0")))</f>
        <v/>
      </c>
      <c r="P492" s="27">
        <f>IF(O492="","",SUMIF($N$8:$N$507,"&gt;="&amp;N492)/SUMIF($N$8:$N$507,"&gt;0"))</f>
        <v/>
      </c>
      <c r="Q492" s="28">
        <f>IF(O492="","",IF(SUMIF($N$8:$N$507,"&gt;"&amp;N492)/SUMIF($N$8:$N$507,"&gt;0")&lt;$B$6,"A",IF(SUMIF($N$8:$N$507,"&gt;"&amp;N492)/SUMIF($N$8:$N$507,"&gt;0")&lt;$D$6,"B","C")))</f>
        <v/>
      </c>
      <c r="R492" s="29">
        <f>IF(O492="","",IF(COUNT(B492:M492)&lt;3,"",STDEVP(B492:M492)/AVERAGE(B492:M492)))</f>
        <v/>
      </c>
      <c r="S492" s="28">
        <f>IF(R492="","",IF(R492&lt;=$G$6,"X",IF(R492&lt;=$I$6,"Y","Z")))</f>
        <v/>
      </c>
    </row>
    <row r="493">
      <c r="A493" s="24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6">
        <f>IF(COUNT(B493:M493)=0,"",SUM(B493:M493))</f>
        <v/>
      </c>
      <c r="O493" s="27">
        <f>IF(N493="","",IF(N493&lt;=0,"",N493/SUMIF($N$8:$N$507,"&gt;0")))</f>
        <v/>
      </c>
      <c r="P493" s="27">
        <f>IF(O493="","",SUMIF($N$8:$N$507,"&gt;="&amp;N493)/SUMIF($N$8:$N$507,"&gt;0"))</f>
        <v/>
      </c>
      <c r="Q493" s="28">
        <f>IF(O493="","",IF(SUMIF($N$8:$N$507,"&gt;"&amp;N493)/SUMIF($N$8:$N$507,"&gt;0")&lt;$B$6,"A",IF(SUMIF($N$8:$N$507,"&gt;"&amp;N493)/SUMIF($N$8:$N$507,"&gt;0")&lt;$D$6,"B","C")))</f>
        <v/>
      </c>
      <c r="R493" s="29">
        <f>IF(O493="","",IF(COUNT(B493:M493)&lt;3,"",STDEVP(B493:M493)/AVERAGE(B493:M493)))</f>
        <v/>
      </c>
      <c r="S493" s="28">
        <f>IF(R493="","",IF(R493&lt;=$G$6,"X",IF(R493&lt;=$I$6,"Y","Z")))</f>
        <v/>
      </c>
    </row>
    <row r="494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6">
        <f>IF(COUNT(B494:M494)=0,"",SUM(B494:M494))</f>
        <v/>
      </c>
      <c r="O494" s="27">
        <f>IF(N494="","",IF(N494&lt;=0,"",N494/SUMIF($N$8:$N$507,"&gt;0")))</f>
        <v/>
      </c>
      <c r="P494" s="27">
        <f>IF(O494="","",SUMIF($N$8:$N$507,"&gt;="&amp;N494)/SUMIF($N$8:$N$507,"&gt;0"))</f>
        <v/>
      </c>
      <c r="Q494" s="28">
        <f>IF(O494="","",IF(SUMIF($N$8:$N$507,"&gt;"&amp;N494)/SUMIF($N$8:$N$507,"&gt;0")&lt;$B$6,"A",IF(SUMIF($N$8:$N$507,"&gt;"&amp;N494)/SUMIF($N$8:$N$507,"&gt;0")&lt;$D$6,"B","C")))</f>
        <v/>
      </c>
      <c r="R494" s="29">
        <f>IF(O494="","",IF(COUNT(B494:M494)&lt;3,"",STDEVP(B494:M494)/AVERAGE(B494:M494)))</f>
        <v/>
      </c>
      <c r="S494" s="28">
        <f>IF(R494="","",IF(R494&lt;=$G$6,"X",IF(R494&lt;=$I$6,"Y","Z")))</f>
        <v/>
      </c>
    </row>
    <row r="495">
      <c r="A495" s="24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6">
        <f>IF(COUNT(B495:M495)=0,"",SUM(B495:M495))</f>
        <v/>
      </c>
      <c r="O495" s="27">
        <f>IF(N495="","",IF(N495&lt;=0,"",N495/SUMIF($N$8:$N$507,"&gt;0")))</f>
        <v/>
      </c>
      <c r="P495" s="27">
        <f>IF(O495="","",SUMIF($N$8:$N$507,"&gt;="&amp;N495)/SUMIF($N$8:$N$507,"&gt;0"))</f>
        <v/>
      </c>
      <c r="Q495" s="28">
        <f>IF(O495="","",IF(SUMIF($N$8:$N$507,"&gt;"&amp;N495)/SUMIF($N$8:$N$507,"&gt;0")&lt;$B$6,"A",IF(SUMIF($N$8:$N$507,"&gt;"&amp;N495)/SUMIF($N$8:$N$507,"&gt;0")&lt;$D$6,"B","C")))</f>
        <v/>
      </c>
      <c r="R495" s="29">
        <f>IF(O495="","",IF(COUNT(B495:M495)&lt;3,"",STDEVP(B495:M495)/AVERAGE(B495:M495)))</f>
        <v/>
      </c>
      <c r="S495" s="28">
        <f>IF(R495="","",IF(R495&lt;=$G$6,"X",IF(R495&lt;=$I$6,"Y","Z")))</f>
        <v/>
      </c>
    </row>
    <row r="496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6">
        <f>IF(COUNT(B496:M496)=0,"",SUM(B496:M496))</f>
        <v/>
      </c>
      <c r="O496" s="27">
        <f>IF(N496="","",IF(N496&lt;=0,"",N496/SUMIF($N$8:$N$507,"&gt;0")))</f>
        <v/>
      </c>
      <c r="P496" s="27">
        <f>IF(O496="","",SUMIF($N$8:$N$507,"&gt;="&amp;N496)/SUMIF($N$8:$N$507,"&gt;0"))</f>
        <v/>
      </c>
      <c r="Q496" s="28">
        <f>IF(O496="","",IF(SUMIF($N$8:$N$507,"&gt;"&amp;N496)/SUMIF($N$8:$N$507,"&gt;0")&lt;$B$6,"A",IF(SUMIF($N$8:$N$507,"&gt;"&amp;N496)/SUMIF($N$8:$N$507,"&gt;0")&lt;$D$6,"B","C")))</f>
        <v/>
      </c>
      <c r="R496" s="29">
        <f>IF(O496="","",IF(COUNT(B496:M496)&lt;3,"",STDEVP(B496:M496)/AVERAGE(B496:M496)))</f>
        <v/>
      </c>
      <c r="S496" s="28">
        <f>IF(R496="","",IF(R496&lt;=$G$6,"X",IF(R496&lt;=$I$6,"Y","Z")))</f>
        <v/>
      </c>
    </row>
    <row r="497">
      <c r="A497" s="24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6">
        <f>IF(COUNT(B497:M497)=0,"",SUM(B497:M497))</f>
        <v/>
      </c>
      <c r="O497" s="27">
        <f>IF(N497="","",IF(N497&lt;=0,"",N497/SUMIF($N$8:$N$507,"&gt;0")))</f>
        <v/>
      </c>
      <c r="P497" s="27">
        <f>IF(O497="","",SUMIF($N$8:$N$507,"&gt;="&amp;N497)/SUMIF($N$8:$N$507,"&gt;0"))</f>
        <v/>
      </c>
      <c r="Q497" s="28">
        <f>IF(O497="","",IF(SUMIF($N$8:$N$507,"&gt;"&amp;N497)/SUMIF($N$8:$N$507,"&gt;0")&lt;$B$6,"A",IF(SUMIF($N$8:$N$507,"&gt;"&amp;N497)/SUMIF($N$8:$N$507,"&gt;0")&lt;$D$6,"B","C")))</f>
        <v/>
      </c>
      <c r="R497" s="29">
        <f>IF(O497="","",IF(COUNT(B497:M497)&lt;3,"",STDEVP(B497:M497)/AVERAGE(B497:M497)))</f>
        <v/>
      </c>
      <c r="S497" s="28">
        <f>IF(R497="","",IF(R497&lt;=$G$6,"X",IF(R497&lt;=$I$6,"Y","Z")))</f>
        <v/>
      </c>
    </row>
    <row r="498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6">
        <f>IF(COUNT(B498:M498)=0,"",SUM(B498:M498))</f>
        <v/>
      </c>
      <c r="O498" s="27">
        <f>IF(N498="","",IF(N498&lt;=0,"",N498/SUMIF($N$8:$N$507,"&gt;0")))</f>
        <v/>
      </c>
      <c r="P498" s="27">
        <f>IF(O498="","",SUMIF($N$8:$N$507,"&gt;="&amp;N498)/SUMIF($N$8:$N$507,"&gt;0"))</f>
        <v/>
      </c>
      <c r="Q498" s="28">
        <f>IF(O498="","",IF(SUMIF($N$8:$N$507,"&gt;"&amp;N498)/SUMIF($N$8:$N$507,"&gt;0")&lt;$B$6,"A",IF(SUMIF($N$8:$N$507,"&gt;"&amp;N498)/SUMIF($N$8:$N$507,"&gt;0")&lt;$D$6,"B","C")))</f>
        <v/>
      </c>
      <c r="R498" s="29">
        <f>IF(O498="","",IF(COUNT(B498:M498)&lt;3,"",STDEVP(B498:M498)/AVERAGE(B498:M498)))</f>
        <v/>
      </c>
      <c r="S498" s="28">
        <f>IF(R498="","",IF(R498&lt;=$G$6,"X",IF(R498&lt;=$I$6,"Y","Z")))</f>
        <v/>
      </c>
    </row>
    <row r="499">
      <c r="A499" s="24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6">
        <f>IF(COUNT(B499:M499)=0,"",SUM(B499:M499))</f>
        <v/>
      </c>
      <c r="O499" s="27">
        <f>IF(N499="","",IF(N499&lt;=0,"",N499/SUMIF($N$8:$N$507,"&gt;0")))</f>
        <v/>
      </c>
      <c r="P499" s="27">
        <f>IF(O499="","",SUMIF($N$8:$N$507,"&gt;="&amp;N499)/SUMIF($N$8:$N$507,"&gt;0"))</f>
        <v/>
      </c>
      <c r="Q499" s="28">
        <f>IF(O499="","",IF(SUMIF($N$8:$N$507,"&gt;"&amp;N499)/SUMIF($N$8:$N$507,"&gt;0")&lt;$B$6,"A",IF(SUMIF($N$8:$N$507,"&gt;"&amp;N499)/SUMIF($N$8:$N$507,"&gt;0")&lt;$D$6,"B","C")))</f>
        <v/>
      </c>
      <c r="R499" s="29">
        <f>IF(O499="","",IF(COUNT(B499:M499)&lt;3,"",STDEVP(B499:M499)/AVERAGE(B499:M499)))</f>
        <v/>
      </c>
      <c r="S499" s="28">
        <f>IF(R499="","",IF(R499&lt;=$G$6,"X",IF(R499&lt;=$I$6,"Y","Z")))</f>
        <v/>
      </c>
    </row>
    <row r="500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6">
        <f>IF(COUNT(B500:M500)=0,"",SUM(B500:M500))</f>
        <v/>
      </c>
      <c r="O500" s="27">
        <f>IF(N500="","",IF(N500&lt;=0,"",N500/SUMIF($N$8:$N$507,"&gt;0")))</f>
        <v/>
      </c>
      <c r="P500" s="27">
        <f>IF(O500="","",SUMIF($N$8:$N$507,"&gt;="&amp;N500)/SUMIF($N$8:$N$507,"&gt;0"))</f>
        <v/>
      </c>
      <c r="Q500" s="28">
        <f>IF(O500="","",IF(SUMIF($N$8:$N$507,"&gt;"&amp;N500)/SUMIF($N$8:$N$507,"&gt;0")&lt;$B$6,"A",IF(SUMIF($N$8:$N$507,"&gt;"&amp;N500)/SUMIF($N$8:$N$507,"&gt;0")&lt;$D$6,"B","C")))</f>
        <v/>
      </c>
      <c r="R500" s="29">
        <f>IF(O500="","",IF(COUNT(B500:M500)&lt;3,"",STDEVP(B500:M500)/AVERAGE(B500:M500)))</f>
        <v/>
      </c>
      <c r="S500" s="28">
        <f>IF(R500="","",IF(R500&lt;=$G$6,"X",IF(R500&lt;=$I$6,"Y","Z")))</f>
        <v/>
      </c>
    </row>
    <row r="501">
      <c r="A501" s="24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6">
        <f>IF(COUNT(B501:M501)=0,"",SUM(B501:M501))</f>
        <v/>
      </c>
      <c r="O501" s="27">
        <f>IF(N501="","",IF(N501&lt;=0,"",N501/SUMIF($N$8:$N$507,"&gt;0")))</f>
        <v/>
      </c>
      <c r="P501" s="27">
        <f>IF(O501="","",SUMIF($N$8:$N$507,"&gt;="&amp;N501)/SUMIF($N$8:$N$507,"&gt;0"))</f>
        <v/>
      </c>
      <c r="Q501" s="28">
        <f>IF(O501="","",IF(SUMIF($N$8:$N$507,"&gt;"&amp;N501)/SUMIF($N$8:$N$507,"&gt;0")&lt;$B$6,"A",IF(SUMIF($N$8:$N$507,"&gt;"&amp;N501)/SUMIF($N$8:$N$507,"&gt;0")&lt;$D$6,"B","C")))</f>
        <v/>
      </c>
      <c r="R501" s="29">
        <f>IF(O501="","",IF(COUNT(B501:M501)&lt;3,"",STDEVP(B501:M501)/AVERAGE(B501:M501)))</f>
        <v/>
      </c>
      <c r="S501" s="28">
        <f>IF(R501="","",IF(R501&lt;=$G$6,"X",IF(R501&lt;=$I$6,"Y","Z")))</f>
        <v/>
      </c>
    </row>
    <row r="50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6">
        <f>IF(COUNT(B502:M502)=0,"",SUM(B502:M502))</f>
        <v/>
      </c>
      <c r="O502" s="27">
        <f>IF(N502="","",IF(N502&lt;=0,"",N502/SUMIF($N$8:$N$507,"&gt;0")))</f>
        <v/>
      </c>
      <c r="P502" s="27">
        <f>IF(O502="","",SUMIF($N$8:$N$507,"&gt;="&amp;N502)/SUMIF($N$8:$N$507,"&gt;0"))</f>
        <v/>
      </c>
      <c r="Q502" s="28">
        <f>IF(O502="","",IF(SUMIF($N$8:$N$507,"&gt;"&amp;N502)/SUMIF($N$8:$N$507,"&gt;0")&lt;$B$6,"A",IF(SUMIF($N$8:$N$507,"&gt;"&amp;N502)/SUMIF($N$8:$N$507,"&gt;0")&lt;$D$6,"B","C")))</f>
        <v/>
      </c>
      <c r="R502" s="29">
        <f>IF(O502="","",IF(COUNT(B502:M502)&lt;3,"",STDEVP(B502:M502)/AVERAGE(B502:M502)))</f>
        <v/>
      </c>
      <c r="S502" s="28">
        <f>IF(R502="","",IF(R502&lt;=$G$6,"X",IF(R502&lt;=$I$6,"Y","Z")))</f>
        <v/>
      </c>
    </row>
    <row r="503">
      <c r="A503" s="24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6">
        <f>IF(COUNT(B503:M503)=0,"",SUM(B503:M503))</f>
        <v/>
      </c>
      <c r="O503" s="27">
        <f>IF(N503="","",IF(N503&lt;=0,"",N503/SUMIF($N$8:$N$507,"&gt;0")))</f>
        <v/>
      </c>
      <c r="P503" s="27">
        <f>IF(O503="","",SUMIF($N$8:$N$507,"&gt;="&amp;N503)/SUMIF($N$8:$N$507,"&gt;0"))</f>
        <v/>
      </c>
      <c r="Q503" s="28">
        <f>IF(O503="","",IF(SUMIF($N$8:$N$507,"&gt;"&amp;N503)/SUMIF($N$8:$N$507,"&gt;0")&lt;$B$6,"A",IF(SUMIF($N$8:$N$507,"&gt;"&amp;N503)/SUMIF($N$8:$N$507,"&gt;0")&lt;$D$6,"B","C")))</f>
        <v/>
      </c>
      <c r="R503" s="29">
        <f>IF(O503="","",IF(COUNT(B503:M503)&lt;3,"",STDEVP(B503:M503)/AVERAGE(B503:M503)))</f>
        <v/>
      </c>
      <c r="S503" s="28">
        <f>IF(R503="","",IF(R503&lt;=$G$6,"X",IF(R503&lt;=$I$6,"Y","Z")))</f>
        <v/>
      </c>
    </row>
    <row r="504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6">
        <f>IF(COUNT(B504:M504)=0,"",SUM(B504:M504))</f>
        <v/>
      </c>
      <c r="O504" s="27">
        <f>IF(N504="","",IF(N504&lt;=0,"",N504/SUMIF($N$8:$N$507,"&gt;0")))</f>
        <v/>
      </c>
      <c r="P504" s="27">
        <f>IF(O504="","",SUMIF($N$8:$N$507,"&gt;="&amp;N504)/SUMIF($N$8:$N$507,"&gt;0"))</f>
        <v/>
      </c>
      <c r="Q504" s="28">
        <f>IF(O504="","",IF(SUMIF($N$8:$N$507,"&gt;"&amp;N504)/SUMIF($N$8:$N$507,"&gt;0")&lt;$B$6,"A",IF(SUMIF($N$8:$N$507,"&gt;"&amp;N504)/SUMIF($N$8:$N$507,"&gt;0")&lt;$D$6,"B","C")))</f>
        <v/>
      </c>
      <c r="R504" s="29">
        <f>IF(O504="","",IF(COUNT(B504:M504)&lt;3,"",STDEVP(B504:M504)/AVERAGE(B504:M504)))</f>
        <v/>
      </c>
      <c r="S504" s="28">
        <f>IF(R504="","",IF(R504&lt;=$G$6,"X",IF(R504&lt;=$I$6,"Y","Z")))</f>
        <v/>
      </c>
    </row>
    <row r="505">
      <c r="A505" s="24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6">
        <f>IF(COUNT(B505:M505)=0,"",SUM(B505:M505))</f>
        <v/>
      </c>
      <c r="O505" s="27">
        <f>IF(N505="","",IF(N505&lt;=0,"",N505/SUMIF($N$8:$N$507,"&gt;0")))</f>
        <v/>
      </c>
      <c r="P505" s="27">
        <f>IF(O505="","",SUMIF($N$8:$N$507,"&gt;="&amp;N505)/SUMIF($N$8:$N$507,"&gt;0"))</f>
        <v/>
      </c>
      <c r="Q505" s="28">
        <f>IF(O505="","",IF(SUMIF($N$8:$N$507,"&gt;"&amp;N505)/SUMIF($N$8:$N$507,"&gt;0")&lt;$B$6,"A",IF(SUMIF($N$8:$N$507,"&gt;"&amp;N505)/SUMIF($N$8:$N$507,"&gt;0")&lt;$D$6,"B","C")))</f>
        <v/>
      </c>
      <c r="R505" s="29">
        <f>IF(O505="","",IF(COUNT(B505:M505)&lt;3,"",STDEVP(B505:M505)/AVERAGE(B505:M505)))</f>
        <v/>
      </c>
      <c r="S505" s="28">
        <f>IF(R505="","",IF(R505&lt;=$G$6,"X",IF(R505&lt;=$I$6,"Y","Z")))</f>
        <v/>
      </c>
    </row>
    <row r="506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6">
        <f>IF(COUNT(B506:M506)=0,"",SUM(B506:M506))</f>
        <v/>
      </c>
      <c r="O506" s="27">
        <f>IF(N506="","",IF(N506&lt;=0,"",N506/SUMIF($N$8:$N$507,"&gt;0")))</f>
        <v/>
      </c>
      <c r="P506" s="27">
        <f>IF(O506="","",SUMIF($N$8:$N$507,"&gt;="&amp;N506)/SUMIF($N$8:$N$507,"&gt;0"))</f>
        <v/>
      </c>
      <c r="Q506" s="28">
        <f>IF(O506="","",IF(SUMIF($N$8:$N$507,"&gt;"&amp;N506)/SUMIF($N$8:$N$507,"&gt;0")&lt;$B$6,"A",IF(SUMIF($N$8:$N$507,"&gt;"&amp;N506)/SUMIF($N$8:$N$507,"&gt;0")&lt;$D$6,"B","C")))</f>
        <v/>
      </c>
      <c r="R506" s="29">
        <f>IF(O506="","",IF(COUNT(B506:M506)&lt;3,"",STDEVP(B506:M506)/AVERAGE(B506:M506)))</f>
        <v/>
      </c>
      <c r="S506" s="28">
        <f>IF(R506="","",IF(R506&lt;=$G$6,"X",IF(R506&lt;=$I$6,"Y","Z")))</f>
        <v/>
      </c>
    </row>
    <row r="507">
      <c r="A507" s="24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6">
        <f>IF(COUNT(B507:M507)=0,"",SUM(B507:M507))</f>
        <v/>
      </c>
      <c r="O507" s="27">
        <f>IF(N507="","",IF(N507&lt;=0,"",N507/SUMIF($N$8:$N$507,"&gt;0")))</f>
        <v/>
      </c>
      <c r="P507" s="27">
        <f>IF(O507="","",SUMIF($N$8:$N$507,"&gt;="&amp;N507)/SUMIF($N$8:$N$507,"&gt;0"))</f>
        <v/>
      </c>
      <c r="Q507" s="28">
        <f>IF(O507="","",IF(SUMIF($N$8:$N$507,"&gt;"&amp;N507)/SUMIF($N$8:$N$507,"&gt;0")&lt;$B$6,"A",IF(SUMIF($N$8:$N$507,"&gt;"&amp;N507)/SUMIF($N$8:$N$507,"&gt;0")&lt;$D$6,"B","C")))</f>
        <v/>
      </c>
      <c r="R507" s="29">
        <f>IF(O507="","",IF(COUNT(B507:M507)&lt;3,"",STDEVP(B507:M507)/AVERAGE(B507:M507)))</f>
        <v/>
      </c>
      <c r="S507" s="28">
        <f>IF(R507="","",IF(R507&lt;=$G$6,"X",IF(R507&lt;=$I$6,"Y","Z")))</f>
        <v/>
      </c>
    </row>
  </sheetData>
  <conditionalFormatting sqref="Q8:Q507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S8:S507">
    <cfRule type="cellIs" priority="4" operator="equal" dxfId="3">
      <formula>"Z"</formula>
    </cfRule>
  </conditionalFormatting>
  <conditionalFormatting sqref="P8:P507">
    <cfRule type="dataBar" priority="5">
      <dataBar>
        <cfvo type="num" val="0"/>
        <cfvo type="num" val="1"/>
        <color rgb="00E0BA5B"/>
      </dataBar>
    </cfRule>
  </conditionalFormatting>
  <conditionalFormatting sqref="A8:A507">
    <cfRule type="expression" priority="6" dxfId="4">
      <formula>$Q8="A"</formula>
    </cfRule>
  </conditionalFormatting>
  <dataValidations count="1">
    <dataValidation sqref="B6 D6" showDropDown="0" showInputMessage="0" showErrorMessage="0" allowBlank="0" errorTitle="Corte no válido" error="Escribe un porcentaje entre 0 % y 100 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BA5B"/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" customWidth="1" min="9" max="9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4" customHeight="1">
      <c r="A2" s="1" t="n"/>
      <c r="B2" s="2" t="inlineStr">
        <is>
          <t>Resumen</t>
        </is>
      </c>
      <c r="C2" s="1" t="n"/>
      <c r="D2" s="1" t="n"/>
      <c r="E2" s="1" t="n"/>
      <c r="F2" s="1" t="n"/>
      <c r="G2" s="1" t="n"/>
      <c r="H2" s="1" t="n"/>
      <c r="I2" s="3" t="inlineStr">
        <is>
          <t>INGENIO LEAN</t>
        </is>
      </c>
    </row>
    <row r="3" ht="22" customHeight="1">
      <c r="A3" s="1" t="n"/>
      <c r="B3" s="4" t="inlineStr">
        <is>
          <t>Tu regla del 80/20, en una hoja</t>
        </is>
      </c>
      <c r="C3" s="1" t="n"/>
      <c r="D3" s="1" t="n"/>
      <c r="E3" s="1" t="n"/>
      <c r="F3" s="1" t="n"/>
      <c r="G3" s="1" t="n"/>
      <c r="H3" s="1" t="n"/>
      <c r="I3" s="5" t="inlineStr">
        <is>
          <t>ingeniolean.substack.com</t>
        </is>
      </c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54" customHeight="1">
      <c r="A6" s="7" t="n"/>
      <c r="B6" s="30">
        <f>IF(COUNTIF('Datos y análisis'!$Q$8:$Q$507,"?")=0,"Pega tus datos en la hoja «Datos y análisis» y aquí verás el resultado.","El "&amp;TEXT(COUNTIF('Datos y análisis'!$Q$8:$Q$507,"A")/COUNTIF('Datos y análisis'!$Q$8:$Q$507,"?"),"0%")&amp;" de tus clientes o referencias genera el "&amp;TEXT(SUMIF('Datos y análisis'!$Q$8:$Q$507,"A",'Datos y análisis'!$N$8:$N$507)/SUMIF('Datos y análisis'!$N$8:$N$507,"&gt;0"),"0%")&amp;" de tu facturación.")</f>
        <v/>
      </c>
      <c r="C6" s="1" t="n"/>
      <c r="D6" s="1" t="n"/>
      <c r="E6" s="1" t="n"/>
      <c r="F6" s="1" t="n"/>
      <c r="G6" s="1" t="n"/>
      <c r="H6" s="1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31" t="inlineStr">
        <is>
          <t>Grupo</t>
        </is>
      </c>
      <c r="C8" s="32" t="inlineStr">
        <is>
          <t>Cuántos</t>
        </is>
      </c>
      <c r="D8" s="32" t="inlineStr">
        <is>
          <t>% de la lista</t>
        </is>
      </c>
      <c r="E8" s="32" t="inlineStr">
        <is>
          <t>Facturación</t>
        </is>
      </c>
      <c r="F8" s="32" t="inlineStr">
        <is>
          <t>% de la facturación</t>
        </is>
      </c>
      <c r="G8" s="7" t="n"/>
      <c r="H8" s="7" t="n"/>
      <c r="I8" s="7" t="n"/>
    </row>
    <row r="9">
      <c r="A9" s="7" t="n"/>
      <c r="B9" s="33" t="inlineStr">
        <is>
          <t>A · los que sostienen la empresa</t>
        </is>
      </c>
      <c r="C9" s="34">
        <f>COUNTIF('Datos y análisis'!$Q$8:$Q$507,"A")</f>
        <v/>
      </c>
      <c r="D9" s="35">
        <f>IF(COUNTIF('Datos y análisis'!$Q$8:$Q$507,"?")=0,"",C9/COUNTIF('Datos y análisis'!$Q$8:$Q$507,"?"))</f>
        <v/>
      </c>
      <c r="E9" s="36">
        <f>SUMIF('Datos y análisis'!$Q$8:$Q$507,"A",'Datos y análisis'!$N$8:$N$507)</f>
        <v/>
      </c>
      <c r="F9" s="35">
        <f>IF(SUMIF('Datos y análisis'!$N$8:$N$507,"&gt;0")=0,"",E9/SUMIF('Datos y análisis'!$N$8:$N$507,"&gt;0"))</f>
        <v/>
      </c>
      <c r="G9" s="7" t="n"/>
      <c r="H9" s="7" t="n"/>
      <c r="I9" s="7" t="n"/>
    </row>
    <row r="10">
      <c r="A10" s="7" t="n"/>
      <c r="B10" s="33" t="inlineStr">
        <is>
          <t>B · la cantera</t>
        </is>
      </c>
      <c r="C10" s="34">
        <f>COUNTIF('Datos y análisis'!$Q$8:$Q$507,"B")</f>
        <v/>
      </c>
      <c r="D10" s="35">
        <f>IF(COUNTIF('Datos y análisis'!$Q$8:$Q$507,"?")=0,"",C10/COUNTIF('Datos y análisis'!$Q$8:$Q$507,"?"))</f>
        <v/>
      </c>
      <c r="E10" s="36">
        <f>SUMIF('Datos y análisis'!$Q$8:$Q$507,"B",'Datos y análisis'!$N$8:$N$507)</f>
        <v/>
      </c>
      <c r="F10" s="35">
        <f>IF(SUMIF('Datos y análisis'!$N$8:$N$507,"&gt;0")=0,"",E10/SUMIF('Datos y análisis'!$N$8:$N$507,"&gt;0"))</f>
        <v/>
      </c>
      <c r="G10" s="7" t="n"/>
      <c r="H10" s="7" t="n"/>
      <c r="I10" s="7" t="n"/>
    </row>
    <row r="11">
      <c r="A11" s="7" t="n"/>
      <c r="B11" s="33" t="inlineStr">
        <is>
          <t>C · la cola</t>
        </is>
      </c>
      <c r="C11" s="34">
        <f>COUNTIF('Datos y análisis'!$Q$8:$Q$507,"C")</f>
        <v/>
      </c>
      <c r="D11" s="35">
        <f>IF(COUNTIF('Datos y análisis'!$Q$8:$Q$507,"?")=0,"",C11/COUNTIF('Datos y análisis'!$Q$8:$Q$507,"?"))</f>
        <v/>
      </c>
      <c r="E11" s="36">
        <f>SUMIF('Datos y análisis'!$Q$8:$Q$507,"C",'Datos y análisis'!$N$8:$N$507)</f>
        <v/>
      </c>
      <c r="F11" s="35">
        <f>IF(SUMIF('Datos y análisis'!$N$8:$N$507,"&gt;0")=0,"",E11/SUMIF('Datos y análisis'!$N$8:$N$507,"&gt;0"))</f>
        <v/>
      </c>
      <c r="G11" s="7" t="n"/>
      <c r="H11" s="7" t="n"/>
      <c r="I11" s="7" t="n"/>
    </row>
    <row r="12">
      <c r="A12" s="7" t="n"/>
      <c r="B12" s="37" t="inlineStr">
        <is>
          <t>Total</t>
        </is>
      </c>
      <c r="C12" s="38">
        <f>SUM(C9:C11)</f>
        <v/>
      </c>
      <c r="D12" s="7" t="n"/>
      <c r="E12" s="39">
        <f>SUM(E9:E11)</f>
        <v/>
      </c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37" t="inlineStr">
        <is>
          <t>Tu mayor cliente o referencia supone</t>
        </is>
      </c>
      <c r="C14" s="7" t="n"/>
      <c r="D14" s="40">
        <f>IF(COUNTIF('Datos y análisis'!$Q$8:$Q$507,"?")=0,"",MAX('Datos y análisis'!$O$8:$O$507))</f>
        <v/>
      </c>
      <c r="E14" s="41" t="inlineStr">
        <is>
          <t>de tu facturación</t>
        </is>
      </c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8" t="inlineStr">
        <is>
          <t>ABC × XYZ</t>
        </is>
      </c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42" t="inlineStr">
        <is>
          <t>Cuántos hay en cada casilla (solo si has pegado al menos 3 meses).</t>
        </is>
      </c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43" t="inlineStr">
        <is>
          <t>X · regular</t>
        </is>
      </c>
      <c r="D18" s="43" t="inlineStr">
        <is>
          <t>Y · altibajos</t>
        </is>
      </c>
      <c r="E18" s="43" t="inlineStr">
        <is>
          <t>Z · a golpes</t>
        </is>
      </c>
      <c r="F18" s="7" t="n"/>
      <c r="G18" s="7" t="n"/>
      <c r="H18" s="7" t="n"/>
      <c r="I18" s="7" t="n"/>
    </row>
    <row r="19">
      <c r="A19" s="7" t="n"/>
      <c r="B19" s="44" t="inlineStr">
        <is>
          <t>A</t>
        </is>
      </c>
      <c r="C19" s="45">
        <f>COUNTIFS('Datos y análisis'!$Q$8:$Q$507,"A",'Datos y análisis'!$S$8:$S$507,"X")</f>
        <v/>
      </c>
      <c r="D19" s="46">
        <f>COUNTIFS('Datos y análisis'!$Q$8:$Q$507,"A",'Datos y análisis'!$S$8:$S$507,"Y")</f>
        <v/>
      </c>
      <c r="E19" s="47">
        <f>COUNTIFS('Datos y análisis'!$Q$8:$Q$507,"A",'Datos y análisis'!$S$8:$S$507,"Z")</f>
        <v/>
      </c>
      <c r="F19" s="7" t="n"/>
      <c r="G19" s="7" t="n"/>
      <c r="H19" s="7" t="n"/>
      <c r="I19" s="7" t="n"/>
    </row>
    <row r="20">
      <c r="A20" s="7" t="n"/>
      <c r="B20" s="44" t="inlineStr">
        <is>
          <t>B</t>
        </is>
      </c>
      <c r="C20" s="46">
        <f>COUNTIFS('Datos y análisis'!$Q$8:$Q$507,"B",'Datos y análisis'!$S$8:$S$507,"X")</f>
        <v/>
      </c>
      <c r="D20" s="46">
        <f>COUNTIFS('Datos y análisis'!$Q$8:$Q$507,"B",'Datos y análisis'!$S$8:$S$507,"Y")</f>
        <v/>
      </c>
      <c r="E20" s="46">
        <f>COUNTIFS('Datos y análisis'!$Q$8:$Q$507,"B",'Datos y análisis'!$S$8:$S$507,"Z")</f>
        <v/>
      </c>
      <c r="F20" s="7" t="n"/>
      <c r="G20" s="7" t="n"/>
      <c r="H20" s="7" t="n"/>
      <c r="I20" s="7" t="n"/>
    </row>
    <row r="21">
      <c r="A21" s="7" t="n"/>
      <c r="B21" s="44" t="inlineStr">
        <is>
          <t>C</t>
        </is>
      </c>
      <c r="C21" s="46">
        <f>COUNTIFS('Datos y análisis'!$Q$8:$Q$507,"C",'Datos y análisis'!$S$8:$S$507,"X")</f>
        <v/>
      </c>
      <c r="D21" s="46">
        <f>COUNTIFS('Datos y análisis'!$Q$8:$Q$507,"C",'Datos y análisis'!$S$8:$S$507,"Y")</f>
        <v/>
      </c>
      <c r="E21" s="46">
        <f>COUNTIFS('Datos y análisis'!$Q$8:$Q$507,"C",'Datos y análisis'!$S$8:$S$507,"Z")</f>
        <v/>
      </c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48" t="inlineStr">
        <is>
          <t>AX: tus pilares, fáciles de planificar.  AZ: importantes pero imprevisibles, los que más desordenan la planta.</t>
        </is>
      </c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8" t="inlineStr">
        <is>
          <t>Qué hacer con cada grupo</t>
        </is>
      </c>
      <c r="C25" s="7" t="n"/>
      <c r="D25" s="7" t="n"/>
      <c r="E25" s="7" t="n"/>
      <c r="F25" s="7" t="n"/>
      <c r="G25" s="7" t="n"/>
      <c r="H25" s="7" t="n"/>
      <c r="I25" s="7" t="n"/>
    </row>
    <row r="26" ht="30" customHeight="1">
      <c r="A26" s="7" t="n"/>
      <c r="B26" s="49" t="inlineStr">
        <is>
          <t>A</t>
        </is>
      </c>
      <c r="C26" s="50" t="inlineStr">
        <is>
          <t>Son tu empresa. Cuida el servicio y vigila cuánto dependes de cada uno. En referencias: que nunca falten.</t>
        </is>
      </c>
      <c r="I26" s="7" t="n"/>
    </row>
    <row r="27" ht="30" customHeight="1">
      <c r="A27" s="7" t="n"/>
      <c r="B27" s="51" t="inlineStr">
        <is>
          <t>B</t>
        </is>
      </c>
      <c r="C27" s="50" t="inlineStr">
        <is>
          <t>La cantera: con algo de atención, algunos pueden subir a A.</t>
        </is>
      </c>
      <c r="I27" s="7" t="n"/>
    </row>
    <row r="28" ht="30" customHeight="1">
      <c r="A28" s="7" t="n"/>
      <c r="B28" s="52" t="inlineStr">
        <is>
          <t>C</t>
        </is>
      </c>
      <c r="C28" s="50" t="inlineStr">
        <is>
          <t>Revisa cuánto te cuesta servirlos: pedido mínimo, tarifas, portes. En referencias: simplifica el catálogo.</t>
        </is>
      </c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53" t="inlineStr">
        <is>
          <t>Cada dos lunes, un problema real de planta y cómo resolverlo → Suscríbete a Ingenio Lean</t>
        </is>
      </c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16" t="inlineStr">
        <is>
          <t>Plantilla gratuita de Ingenio Lean · Roque Pérez · roqueperez.es</t>
        </is>
      </c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</sheetData>
  <mergeCells count="4">
    <mergeCell ref="C28:H28"/>
    <mergeCell ref="B6:H6"/>
    <mergeCell ref="C27:H27"/>
    <mergeCell ref="C26:H26"/>
  </mergeCells>
  <hyperlinks>
    <hyperlink xmlns:r="http://schemas.openxmlformats.org/officeDocument/2006/relationships" ref="B3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Ingenio Lean · Roque Pérez</dc:creator>
  <dc:title>Análisis ABC-XYZ · Ingenio Lean</dc:title>
  <dcterms:created xsi:type="dcterms:W3CDTF">2026-10-25T10:33:18Z</dcterms:created>
  <dcterms:modified xsi:type="dcterms:W3CDTF">2026-10-25T10:33:18Z</dcterms:modified>
</cp:coreProperties>
</file>